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技能主表" sheetId="2" r:id="rId1"/>
    <sheet name="技能套装表" sheetId="3" r:id="rId2"/>
    <sheet name="技能升级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</author>
  </authors>
  <commentList>
    <comment ref="I3" authorId="0">
      <text>
        <r>
          <rPr>
            <b/>
            <sz val="9"/>
            <rFont val="宋体"/>
            <charset val="134"/>
          </rPr>
          <t>CHEN:</t>
        </r>
        <r>
          <rPr>
            <sz val="9"/>
            <rFont val="宋体"/>
            <charset val="134"/>
          </rPr>
          <t xml:space="preserve">
0白1绿2蓝3紫4金
5红6粉7彩</t>
        </r>
      </text>
    </comment>
    <comment ref="K5" authorId="0">
      <text>
        <r>
          <rPr>
            <b/>
            <sz val="9"/>
            <rFont val="宋体"/>
            <charset val="134"/>
          </rPr>
          <t>CHEN:</t>
        </r>
        <r>
          <rPr>
            <sz val="9"/>
            <rFont val="宋体"/>
            <charset val="134"/>
          </rPr>
          <t xml:space="preserve">
属性类型，数值类型，数值
数值类型：1固定值2百分比</t>
        </r>
      </text>
    </comment>
  </commentList>
</comments>
</file>

<file path=xl/comments2.xml><?xml version="1.0" encoding="utf-8"?>
<comments xmlns="http://schemas.openxmlformats.org/spreadsheetml/2006/main">
  <authors>
    <author>CHEN</author>
  </authors>
  <commentList>
    <comment ref="D5" authorId="0">
      <text>
        <r>
          <rPr>
            <b/>
            <sz val="9"/>
            <rFont val="宋体"/>
            <charset val="134"/>
          </rPr>
          <t>CHEN:</t>
        </r>
        <r>
          <rPr>
            <sz val="9"/>
            <rFont val="宋体"/>
            <charset val="134"/>
          </rPr>
          <t xml:space="preserve">
属性类型，数值类型，数值
数值类型：1固定值2百分比</t>
        </r>
      </text>
    </comment>
  </commentList>
</comments>
</file>

<file path=xl/sharedStrings.xml><?xml version="1.0" encoding="utf-8"?>
<sst xmlns="http://schemas.openxmlformats.org/spreadsheetml/2006/main" count="738" uniqueCount="346">
  <si>
    <t>##var</t>
  </si>
  <si>
    <t>id</t>
  </si>
  <si>
    <t>name</t>
  </si>
  <si>
    <t>desc</t>
  </si>
  <si>
    <t>##</t>
  </si>
  <si>
    <t>group</t>
  </si>
  <si>
    <t>decompose</t>
  </si>
  <si>
    <t>skillType</t>
  </si>
  <si>
    <t>quality</t>
  </si>
  <si>
    <t>level</t>
  </si>
  <si>
    <t>specialEffect</t>
  </si>
  <si>
    <t>icon</t>
  </si>
  <si>
    <t>cd</t>
  </si>
  <si>
    <t>buff</t>
  </si>
  <si>
    <t>battleSkill</t>
  </si>
  <si>
    <t>passivityBattleSkill</t>
  </si>
  <si>
    <t>AddFight</t>
  </si>
  <si>
    <t>##type</t>
  </si>
  <si>
    <t>int</t>
  </si>
  <si>
    <t>string</t>
  </si>
  <si>
    <t>(list#sep=;),Prop.PropObj</t>
  </si>
  <si>
    <t>Skill.SkillDisplayType</t>
  </si>
  <si>
    <t>Item.Quality</t>
  </si>
  <si>
    <t>(list#sep=;),Property.PropertyData</t>
  </si>
  <si>
    <t>int?#ref=Battle.TbBuffMain</t>
  </si>
  <si>
    <t>(list#sep=;),Skill.SkAndSktIdData</t>
  </si>
  <si>
    <t>##group</t>
  </si>
  <si>
    <t>技能名</t>
  </si>
  <si>
    <t>技能效果</t>
  </si>
  <si>
    <t>buff效果处理</t>
  </si>
  <si>
    <t>技能组</t>
  </si>
  <si>
    <t>分解奖励</t>
  </si>
  <si>
    <t>技能类别</t>
  </si>
  <si>
    <t>品质</t>
  </si>
  <si>
    <t>等级</t>
  </si>
  <si>
    <t>增加属性类型</t>
  </si>
  <si>
    <t>技能图标</t>
  </si>
  <si>
    <t>技能CD
(单位ms)</t>
  </si>
  <si>
    <t>效果id</t>
  </si>
  <si>
    <t>主动技能</t>
  </si>
  <si>
    <t>被动技能</t>
  </si>
  <si>
    <t>技能升级提升战力</t>
  </si>
  <si>
    <t>慌张魔—近普</t>
  </si>
  <si>
    <t>慌张乱撞</t>
  </si>
  <si>
    <t>SkillIcon/Icon_Skill_003</t>
  </si>
  <si>
    <t>慌张魔—能量技</t>
  </si>
  <si>
    <t xml:space="preserve">	慌作一团</t>
  </si>
  <si>
    <t>SkillIcon/Icon_Skill_006</t>
  </si>
  <si>
    <t>慌张魔—被动</t>
  </si>
  <si>
    <t>慌张躲闪</t>
  </si>
  <si>
    <t>SkillIcon/Icon_Skill_005</t>
  </si>
  <si>
    <t>慌张魔—3破能量技</t>
  </si>
  <si>
    <t>祝·慌作一团</t>
  </si>
  <si>
    <t>凝神决</t>
  </si>
  <si>
    <t>挂机修炼时额外增加修炼经验35</t>
  </si>
  <si>
    <t>叠加</t>
  </si>
  <si>
    <t>1,1,1000</t>
  </si>
  <si>
    <t>29,1,35</t>
  </si>
  <si>
    <t>挂机修炼时额外增加修炼经验70</t>
  </si>
  <si>
    <t>1,1,2000</t>
  </si>
  <si>
    <t>29,1,70</t>
  </si>
  <si>
    <t>挂机修炼时额外增加修炼经验140</t>
  </si>
  <si>
    <t>1,1,4000</t>
  </si>
  <si>
    <t>29,1,140</t>
  </si>
  <si>
    <t>挂机修炼时额外增加修炼经验315</t>
  </si>
  <si>
    <t>1,1,8000</t>
  </si>
  <si>
    <t>29,1,315</t>
  </si>
  <si>
    <t>挂机修炼时额外增加修炼经验700</t>
  </si>
  <si>
    <t>1,1,16000</t>
  </si>
  <si>
    <t>29,1,700</t>
  </si>
  <si>
    <t>挂机修炼时额外增加修炼经验1470</t>
  </si>
  <si>
    <t>1,1,32000</t>
  </si>
  <si>
    <t>29,1,1470</t>
  </si>
  <si>
    <t>挂机修炼时额外增加修炼经验3010</t>
  </si>
  <si>
    <t>1,1011,1</t>
  </si>
  <si>
    <t>29,1,3010</t>
  </si>
  <si>
    <t>神·凝神决</t>
  </si>
  <si>
    <t>挂机修炼时额外增加修炼经验4900</t>
  </si>
  <si>
    <t>1,1011,6</t>
  </si>
  <si>
    <t>29,1,4900</t>
  </si>
  <si>
    <t>聚灵经</t>
  </si>
  <si>
    <t>挂机修炼时基础经验速度提升2%</t>
  </si>
  <si>
    <t>替换</t>
  </si>
  <si>
    <t>29,2,200</t>
  </si>
  <si>
    <t>挂机修炼时基础经验速度提升4%</t>
  </si>
  <si>
    <t>29,2,400</t>
  </si>
  <si>
    <t>挂机修炼时基础经验速度提升8%</t>
  </si>
  <si>
    <t>29,2,800</t>
  </si>
  <si>
    <t>挂机修炼时基础经验速度提升16%</t>
  </si>
  <si>
    <t>29,2,1600</t>
  </si>
  <si>
    <t>挂机修炼时基础经验速度提升32%</t>
  </si>
  <si>
    <t>29,2,3200</t>
  </si>
  <si>
    <t>挂机修炼时基础经验速度提升64%</t>
  </si>
  <si>
    <t>29,2,6400</t>
  </si>
  <si>
    <t>挂机修炼时基础经验速度提升128%</t>
  </si>
  <si>
    <t>29,2,12800</t>
  </si>
  <si>
    <t>神·聚灵经</t>
  </si>
  <si>
    <t>挂机修炼时基础经验速度提升192%</t>
  </si>
  <si>
    <t>29,2,19200</t>
  </si>
  <si>
    <t>回春术</t>
  </si>
  <si>
    <t>挂机修炼时每5秒恢复0.4%生命，额外再回复100</t>
  </si>
  <si>
    <t>挂机修炼时每5秒恢复0.7%生命，额外再回复200</t>
  </si>
  <si>
    <t>挂机修炼时每5秒恢复1.0%生命，额外再回复300</t>
  </si>
  <si>
    <t>挂机修炼时每5秒恢复1.3%生命，额外再回复400</t>
  </si>
  <si>
    <t>挂机修炼时每5秒恢复1.6%生命，额外再回复500</t>
  </si>
  <si>
    <t>挂机修炼时每5秒恢复2.0%生命，额外再回复600</t>
  </si>
  <si>
    <t>挂机修炼时每5秒恢复2.5%生命，额外再回复800</t>
  </si>
  <si>
    <t>神·回春术</t>
  </si>
  <si>
    <t>挂机修炼时每5秒恢复3.1%生命，额外再回复800</t>
  </si>
  <si>
    <t>血魔功</t>
  </si>
  <si>
    <t>挂机修炼时每10秒消耗生命2.0%增加修炼经验49</t>
  </si>
  <si>
    <t>29,1,49</t>
  </si>
  <si>
    <t>挂机修炼时每10秒消耗生命2.5%增加修炼经验98</t>
  </si>
  <si>
    <t>29,1,98</t>
  </si>
  <si>
    <t>挂机修炼时每10秒消耗生命3.0%增加修炼经验196</t>
  </si>
  <si>
    <t>29,1,196</t>
  </si>
  <si>
    <t>挂机修炼时每10秒消耗生命3.5%增加修炼经验441</t>
  </si>
  <si>
    <t>29,1,441</t>
  </si>
  <si>
    <t>挂机修炼时每10秒消耗生命4.0%增加修炼经验980</t>
  </si>
  <si>
    <t>29,1,980</t>
  </si>
  <si>
    <t>挂机修炼时每10秒消耗生命4.5%增加修炼经验2058</t>
  </si>
  <si>
    <t>29,1,2058</t>
  </si>
  <si>
    <t>挂机修炼时每10秒消耗生命5.0%增加修炼经验4214</t>
  </si>
  <si>
    <t>29,1,4214</t>
  </si>
  <si>
    <t>神·血魔功</t>
  </si>
  <si>
    <t>挂机修炼时每10秒消耗生命5.0%增加修炼经验6860</t>
  </si>
  <si>
    <t>风刃裂空</t>
  </si>
  <si>
    <t>增加200伤害，附加10%风属性伤害</t>
  </si>
  <si>
    <t>10010011,1040101;10030011,1040201</t>
  </si>
  <si>
    <t>增加400伤害，附加20%风属性伤害</t>
  </si>
  <si>
    <t>增加600伤害，附加30%风属性伤害</t>
  </si>
  <si>
    <t>增加1000伤害，附加50%风属性伤害</t>
  </si>
  <si>
    <t>增加1600伤害，附加80%风属性伤害</t>
  </si>
  <si>
    <t>10010011,1040102;10030011,1040202</t>
  </si>
  <si>
    <t>增加2600伤害，附加110%风属性伤害</t>
  </si>
  <si>
    <t>增加4000伤害，附加150%风属性伤害</t>
  </si>
  <si>
    <t>10010011,1040103;10030011,1040203</t>
  </si>
  <si>
    <t>神·风刃裂空</t>
  </si>
  <si>
    <t>增加6000伤害，附加200%风属性伤害</t>
  </si>
  <si>
    <t>地脉之力</t>
  </si>
  <si>
    <t>增加200伤害，附加10%土属性伤害</t>
  </si>
  <si>
    <t>10010021,1050101;10030021,1050201</t>
  </si>
  <si>
    <t>增加400伤害，附加20%土属性伤害</t>
  </si>
  <si>
    <t>增加600伤害，附加30%土属性伤害</t>
  </si>
  <si>
    <t>增加1000伤害，附加50%土属性伤害</t>
  </si>
  <si>
    <t>增加1600伤害，附加80%土属性伤害</t>
  </si>
  <si>
    <t>10010021,1050102;10030021,1050202</t>
  </si>
  <si>
    <t>增加2600伤害，附加110%土属性伤害</t>
  </si>
  <si>
    <t>增加4000伤害，附加150%土属性伤害</t>
  </si>
  <si>
    <t>10010021,1050103;10030021,1050203</t>
  </si>
  <si>
    <t>神·地脉之力</t>
  </si>
  <si>
    <t>增加6000伤害，附加200%土属性伤害</t>
  </si>
  <si>
    <t>寒冰破浪</t>
  </si>
  <si>
    <t>增加200伤害，附加10%水属性伤害</t>
  </si>
  <si>
    <t>10010041,1060101;10030041,1060201</t>
  </si>
  <si>
    <t>增加400伤害，附加20%水属性伤害</t>
  </si>
  <si>
    <t>增加600伤害，附加30%水属性伤害</t>
  </si>
  <si>
    <t>增加1000伤害，附加50%水属性伤害</t>
  </si>
  <si>
    <t>增加1600伤害，附加80%水属性伤害</t>
  </si>
  <si>
    <t>10010041,1060102;10030041,1060202</t>
  </si>
  <si>
    <t>增加2600伤害，附加110%水属性伤害</t>
  </si>
  <si>
    <t>增加4000伤害，附加150%水属性伤害</t>
  </si>
  <si>
    <t>10010041,1060103;10030041,1060203</t>
  </si>
  <si>
    <t>神·寒冰破浪</t>
  </si>
  <si>
    <t>增加6000伤害，附加200%水属性伤害</t>
  </si>
  <si>
    <t>炎阳真火</t>
  </si>
  <si>
    <t>增加200伤害，附加10%火属性伤害</t>
  </si>
  <si>
    <t>10010031,1070101;10030041,1070201</t>
  </si>
  <si>
    <t>增加400伤害，附加20%火属性伤害</t>
  </si>
  <si>
    <t>10010031,1070101;10030031,1070201</t>
  </si>
  <si>
    <t>增加600伤害，附加30%火属性伤害</t>
  </si>
  <si>
    <t>增加1000伤害，附加50%火属性伤害</t>
  </si>
  <si>
    <t>增加1600伤害，附加80%火属性伤害</t>
  </si>
  <si>
    <t>10010031,1070102;10030031,1070202</t>
  </si>
  <si>
    <t>增加2600伤害，附加110%火属性伤害</t>
  </si>
  <si>
    <t>增加4000伤害，附加150%火属性伤害</t>
  </si>
  <si>
    <t>10010031,1070103;10030031,1070203</t>
  </si>
  <si>
    <t>神·炎阳真火</t>
  </si>
  <si>
    <t>增加6000伤害，附加200%火属性伤害</t>
  </si>
  <si>
    <t>风神守护</t>
  </si>
  <si>
    <t>减少2%普通伤害，额外减少7%风属性伤害</t>
  </si>
  <si>
    <t>独立，时间叠加</t>
  </si>
  <si>
    <t>减少4%普通伤害，额外减少14%风属性伤害</t>
  </si>
  <si>
    <t>减少6%普通伤害，额外减少21%风属性伤害</t>
  </si>
  <si>
    <t>减少10%普通伤害，额外减少35%风属性伤害</t>
  </si>
  <si>
    <t>减少16%普通伤害，额外减少56%风属性伤害</t>
  </si>
  <si>
    <t>减少24%普通伤害，额外减少84%风属性伤害</t>
  </si>
  <si>
    <t>减少36%普通伤害，额外减少126%风属性伤害</t>
  </si>
  <si>
    <t>神·风神守护</t>
  </si>
  <si>
    <t>减少48%普通伤害，额外减少168%风属性伤害</t>
  </si>
  <si>
    <t>地脉守护</t>
  </si>
  <si>
    <t>减少2%普通伤害，额外减少7%土属性伤害</t>
  </si>
  <si>
    <t>减少4%普通伤害，额外减少14%土属性伤害</t>
  </si>
  <si>
    <t>减少6%普通伤害，额外减少21%土属性伤害</t>
  </si>
  <si>
    <t>减少10%普通伤害，额外减少35%土属性伤害</t>
  </si>
  <si>
    <t>减少16%普通伤害，额外减少56%土属性伤害</t>
  </si>
  <si>
    <t>减少24%普通伤害，额外减少84%土属性伤害</t>
  </si>
  <si>
    <t>减少36%普通伤害，额外减少126%土属性伤害</t>
  </si>
  <si>
    <t>神·地脉守护</t>
  </si>
  <si>
    <t>减少48%普通伤害，额外减少168%土属性伤害</t>
  </si>
  <si>
    <t>水灵之语</t>
  </si>
  <si>
    <t>减少2%普通伤害，额外减少7%水属性伤害</t>
  </si>
  <si>
    <t>减少4%普通伤害，额外减少14%水属性伤害</t>
  </si>
  <si>
    <t>减少6%普通伤害，额外减少21%水属性伤害</t>
  </si>
  <si>
    <t>减少10%普通伤害，额外减少35%水属性伤害</t>
  </si>
  <si>
    <t>减少16%普通伤害，额外减少56%水属性伤害</t>
  </si>
  <si>
    <t>减少24%普通伤害，额外减少84%水属性伤害</t>
  </si>
  <si>
    <t>减少36%普通伤害，额外减少126%水属性伤害</t>
  </si>
  <si>
    <t>神·水灵之语</t>
  </si>
  <si>
    <t>减少48%普通伤害，额外减少168%水属性伤害</t>
  </si>
  <si>
    <t>火甲之语</t>
  </si>
  <si>
    <t>减少2%普通伤害，额外减少7%火属性伤害</t>
  </si>
  <si>
    <t>减少4%普通伤害，额外减少14%火属性伤害</t>
  </si>
  <si>
    <t>减少6%普通伤害，额外减少21%火属性伤害</t>
  </si>
  <si>
    <t>减少10%普通伤害，额外减少35%火属性伤害</t>
  </si>
  <si>
    <t>减少16%普通伤害，额外减少56%火属性伤害</t>
  </si>
  <si>
    <t>减少24%普通伤害，额外减少84%火属性伤害</t>
  </si>
  <si>
    <t>减少36%普通伤害，额外减少126%火属性伤害</t>
  </si>
  <si>
    <t>神·火甲之语</t>
  </si>
  <si>
    <t>减少48%普通伤害，额外减少168%火属性伤害</t>
  </si>
  <si>
    <t>不动如山</t>
  </si>
  <si>
    <t>减少6%普通伤害</t>
  </si>
  <si>
    <t>减少12%普通伤害</t>
  </si>
  <si>
    <t>减少18%普通伤害</t>
  </si>
  <si>
    <t>减少30%普通伤害</t>
  </si>
  <si>
    <t>减少48%普通伤害</t>
  </si>
  <si>
    <t>减少72%普通伤害</t>
  </si>
  <si>
    <t>减少108%普通伤害</t>
  </si>
  <si>
    <t>神·不动如山</t>
  </si>
  <si>
    <t>减少144%普通伤害</t>
  </si>
  <si>
    <t>狂暴之力</t>
  </si>
  <si>
    <t>增加6%普通伤害</t>
  </si>
  <si>
    <t>增加12%普通伤害</t>
  </si>
  <si>
    <t>增加18%普通伤害</t>
  </si>
  <si>
    <t>增加30%普通伤害</t>
  </si>
  <si>
    <t>增加48%普通伤害</t>
  </si>
  <si>
    <t>增加72%普通伤害</t>
  </si>
  <si>
    <t>增加108%普通伤害</t>
  </si>
  <si>
    <t>神·狂暴之力</t>
  </si>
  <si>
    <t>增加144%普通伤害</t>
  </si>
  <si>
    <t>灵盾护体</t>
  </si>
  <si>
    <t>获得2%生命的护盾30秒CD</t>
  </si>
  <si>
    <t>独立</t>
  </si>
  <si>
    <t>获得4%生命的护盾30秒CD</t>
  </si>
  <si>
    <t>获得6%生命的护盾30秒CD</t>
  </si>
  <si>
    <t>获得10%生命的护盾30秒CD</t>
  </si>
  <si>
    <t>获得16%生命的护盾30秒CD</t>
  </si>
  <si>
    <t>获得24%生命的护盾30秒CD</t>
  </si>
  <si>
    <t>获得36%生命的护盾30秒CD</t>
  </si>
  <si>
    <t>神·灵盾护体</t>
  </si>
  <si>
    <t>获得48%生命的护盾30秒CD</t>
  </si>
  <si>
    <t>血祭魔功</t>
  </si>
  <si>
    <t>攻击时将1.2%的伤害转化为自己生命值，不能超过最大生命值的1%</t>
  </si>
  <si>
    <t>攻击时将2.4%的伤害转化为自己生命值，不能超过最大生命值的1%</t>
  </si>
  <si>
    <t>攻击时将3.6%的伤害转化为自己生命值，不能超过最大生命值的1%</t>
  </si>
  <si>
    <t>攻击时将6.0%的伤害转化为自己生命值，不能超过最大生命值的1.5%</t>
  </si>
  <si>
    <t>攻击时将8.4%的伤害转化为自己生命值，不能超过最大生命值的1.5%</t>
  </si>
  <si>
    <t>攻击时将12.0%的伤害转化为自己生命值，不能超过最大生命值的1.5%</t>
  </si>
  <si>
    <t>攻击时将16.8%的伤害转化为自己生命值，不能超过最大生命值的2%</t>
  </si>
  <si>
    <t>神·血祭魔功</t>
  </si>
  <si>
    <t>攻击时将21.6%的伤害转化为自己生命值，不能超过最大生命值的2%</t>
  </si>
  <si>
    <t>长生真诀</t>
  </si>
  <si>
    <t>持有时，被攻击回复受到伤害0%的生命值,最多不能超过当前生命值的0.2%</t>
  </si>
  <si>
    <t>持有时，被攻击回复受到伤害0%的生命值,最多不能超过当前生命值的0.4%</t>
  </si>
  <si>
    <t>持有时，被攻击回复受到伤害1%的生命值,最多不能超过当前生命值的0.6%</t>
  </si>
  <si>
    <t>持有时，被攻击回复受到伤害1%的生命值,最多不能超过当前生命值的1.0%</t>
  </si>
  <si>
    <t>持有时，被攻击回复受到伤害2%的生命值,最多不能超过当前生命值的1.6%</t>
  </si>
  <si>
    <t>持有时，被攻击回复受到伤害2%的生命值,最多不能超过当前生命值的2.4%</t>
  </si>
  <si>
    <t>持有时，被攻击回复受到伤害3%的生命值,最多不能超过当前生命值的3.2%</t>
  </si>
  <si>
    <t>神·长生真诀</t>
  </si>
  <si>
    <t>持有时，被攻击回复受到伤害4%的生命值,最多不能超过当前生命值的3.2%</t>
  </si>
  <si>
    <t>斗转星移</t>
  </si>
  <si>
    <t>持有时，受到的伤害3%随机转移给其他人</t>
  </si>
  <si>
    <t>持有时，受到的伤害5%随机转移给其他人</t>
  </si>
  <si>
    <t>持有时，受到的伤害8%随机转移给其他人</t>
  </si>
  <si>
    <t>持有时，受到的伤害13%随机转移给其他人</t>
  </si>
  <si>
    <t>持有时，受到的伤害20%随机转移给其他人</t>
  </si>
  <si>
    <t>持有时，受到的伤害30%随机转移给其他人</t>
  </si>
  <si>
    <t>持有时，受到的伤害40%随机转移给其他人</t>
  </si>
  <si>
    <t>神·斗转星移</t>
  </si>
  <si>
    <t>持有时，受到的伤害50%随机转移给其他人</t>
  </si>
  <si>
    <t>太乙神术</t>
  </si>
  <si>
    <t>持有时，攻击附加5%禁疗，持续5s</t>
  </si>
  <si>
    <t>12000000,1200000</t>
  </si>
  <si>
    <t>持有时，攻击附加10%禁疗，持续5s</t>
  </si>
  <si>
    <t>持有时，攻击附加15%禁疗，持续5s</t>
  </si>
  <si>
    <t>持有时，攻击附加25%禁疗，持续5s</t>
  </si>
  <si>
    <t>持有时，攻击附加35%禁疗，持续5s</t>
  </si>
  <si>
    <t>持有时，攻击附加50%禁疗，持续5s</t>
  </si>
  <si>
    <t>持有时，攻击附加75%禁疗，持续5s</t>
  </si>
  <si>
    <t>神·太乙神术</t>
  </si>
  <si>
    <t>持有时，攻击附加100%禁疗，持续5s</t>
  </si>
  <si>
    <t>天璇灵决</t>
  </si>
  <si>
    <t>持有时，攻击附加5%禁吸血，持续5s</t>
  </si>
  <si>
    <t>12000001,1200001</t>
  </si>
  <si>
    <t>持有时，攻击附加10%禁吸血，持续5s</t>
  </si>
  <si>
    <t>持有时，攻击附加15%禁吸血，持续5s</t>
  </si>
  <si>
    <t>持有时，攻击附加25%禁吸血，持续5s</t>
  </si>
  <si>
    <t>持有时，攻击附加35%禁吸血，持续5s</t>
  </si>
  <si>
    <t>持有时，攻击附加50%禁吸血，持续5s</t>
  </si>
  <si>
    <t>持有时，攻击附加75%禁吸血，持续5s</t>
  </si>
  <si>
    <t>神·天璇灵决</t>
  </si>
  <si>
    <t>持有时，攻击附加100%禁吸血，持续5s</t>
  </si>
  <si>
    <t>身外化身</t>
  </si>
  <si>
    <t>持有时，死亡后5%概率复活，回复5%生命</t>
  </si>
  <si>
    <t>持有时，死亡后10%概率复活，回复10%生命</t>
  </si>
  <si>
    <t>持有时，死亡后20%概率复活，回复10%生命</t>
  </si>
  <si>
    <t>持有时，死亡后30%概率复活，回复15%生命</t>
  </si>
  <si>
    <t>持有时，死亡后40%概率复活，回复20%生命</t>
  </si>
  <si>
    <t>持有时，死亡后50%概率复活，回复20%生命</t>
  </si>
  <si>
    <t>持有时，死亡后60%概率复活，回复25%生命</t>
  </si>
  <si>
    <t>神·身外化身</t>
  </si>
  <si>
    <t>持有时，死亡后65%概率复活，回复30%生命</t>
  </si>
  <si>
    <t>凤凰涅槃</t>
  </si>
  <si>
    <t>死亡后复活，每次复活后恢复生命降低10-20%，当复活后生命低于50%时，不再复活，技能CD5分钟</t>
  </si>
  <si>
    <t>1,1011,30</t>
  </si>
  <si>
    <t>凤凰之息</t>
  </si>
  <si>
    <t>增加8400伤害，附加180%火属性伤害，对目标造成点燃效果（持续5秒），每秒造成10%伤害</t>
  </si>
  <si>
    <t>烈焰护盾</t>
  </si>
  <si>
    <t>获得36%生命的烈焰护盾，30秒CD，护盾被打破时对全体造成50%伤害</t>
  </si>
  <si>
    <t>风卷残云</t>
  </si>
  <si>
    <t>附加100%风属性伤害，攻击时有80%概率触发对方混乱2秒</t>
  </si>
  <si>
    <t>岩石之盾</t>
  </si>
  <si>
    <t>附加100%土属性伤害，攻击时有80%概率触发自身无敌2秒</t>
  </si>
  <si>
    <t>烈焰风暴</t>
  </si>
  <si>
    <t>附加100%火属性伤害，攻击时有80%概率触发对方晕眩2秒</t>
  </si>
  <si>
    <t>寒冰冲击</t>
  </si>
  <si>
    <t>附加100%水属性伤害，攻击时有80%概率触发对方冰冻2秒</t>
  </si>
  <si>
    <t>疾风突袭</t>
  </si>
  <si>
    <t>附加100%风属性伤害，攻击时有80%概率释放风暴效果，对方受到伤害增加20%，持续10秒</t>
  </si>
  <si>
    <t>附加100%土属性伤害，攻击时有80%概率释放护盾效果，降低20%伤害，持续10秒</t>
  </si>
  <si>
    <t>火球冲击</t>
  </si>
  <si>
    <t>附加100%火属性伤害，攻击时有80%概率释放燃烧效果，每5秒损失2%生命，单次最多10000点，持续10秒</t>
  </si>
  <si>
    <t>潮汐之舞</t>
  </si>
  <si>
    <t>附加100%水属性伤害，攻击时有80%概率释放冰冻效果，降低20%攻速和移速，持续10秒</t>
  </si>
  <si>
    <t>1,2,2000;4,2,2000</t>
  </si>
  <si>
    <t>1,2,3000;4,2,3000</t>
  </si>
  <si>
    <t>1,2,4000;4,2,4000</t>
  </si>
  <si>
    <t>1,2,5000;4,2,5000</t>
  </si>
  <si>
    <t>1,2,6000;4,2,6000</t>
  </si>
  <si>
    <t>cost</t>
  </si>
  <si>
    <t>upgradeID</t>
  </si>
  <si>
    <t>进阶功法id</t>
  </si>
  <si>
    <t>升级消耗</t>
  </si>
  <si>
    <t>升级后功法id</t>
  </si>
  <si>
    <t>1,1011,20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</si>
</sst>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22" applyBorder="1" applyAlignment="1"/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23" applyBorder="1" applyAlignment="1"/>
    <xf numFmtId="0" fontId="0" fillId="0" borderId="0" xfId="0" applyFont="1" applyAlignment="1">
      <alignment horizont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49" applyAlignment="1">
      <alignment horizontal="left" vertical="center"/>
    </xf>
    <xf numFmtId="0" fontId="0" fillId="4" borderId="0" xfId="0" applyFont="1" applyFill="1">
      <alignment vertical="center"/>
    </xf>
    <xf numFmtId="0" fontId="0" fillId="4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0"/>
  <sheetViews>
    <sheetView tabSelected="1" workbookViewId="0">
      <pane xSplit="4" ySplit="4" topLeftCell="K5" activePane="bottomRight" state="frozen"/>
      <selection/>
      <selection pane="topRight"/>
      <selection pane="bottomLeft"/>
      <selection pane="bottomRight" activeCell="P6" sqref="P6"/>
    </sheetView>
  </sheetViews>
  <sheetFormatPr defaultColWidth="9" defaultRowHeight="14"/>
  <cols>
    <col min="3" max="3" width="12.8636363636364" customWidth="1"/>
    <col min="4" max="4" width="41.9090909090909" customWidth="1"/>
    <col min="5" max="5" width="17.4636363636364" customWidth="1"/>
    <col min="6" max="6" width="10" customWidth="1"/>
    <col min="7" max="7" width="10" style="11" customWidth="1"/>
    <col min="8" max="8" width="16.1363636363636" customWidth="1"/>
    <col min="9" max="9" width="11.7272727272727" customWidth="1"/>
    <col min="10" max="11" width="11.6" customWidth="1"/>
    <col min="12" max="12" width="12" customWidth="1"/>
    <col min="13" max="13" width="14.1363636363636" customWidth="1"/>
    <col min="14" max="14" width="36.4" customWidth="1"/>
    <col min="15" max="15" width="34.6363636363636" style="9" customWidth="1"/>
    <col min="16" max="16" width="29.0909090909091" customWidth="1"/>
  </cols>
  <sheetData>
    <row r="1" spans="1:17">
      <c r="A1" s="2" t="s">
        <v>0</v>
      </c>
      <c r="B1" t="s">
        <v>1</v>
      </c>
      <c r="C1" t="s">
        <v>2</v>
      </c>
      <c r="D1" s="7" t="s">
        <v>3</v>
      </c>
      <c r="E1" t="s">
        <v>4</v>
      </c>
      <c r="F1" s="7" t="s">
        <v>5</v>
      </c>
      <c r="G1" s="12" t="s">
        <v>6</v>
      </c>
      <c r="H1" t="s">
        <v>7</v>
      </c>
      <c r="I1" s="7" t="s">
        <v>8</v>
      </c>
      <c r="J1" s="7" t="s">
        <v>9</v>
      </c>
      <c r="K1" s="8" t="s">
        <v>10</v>
      </c>
      <c r="L1" t="s">
        <v>11</v>
      </c>
      <c r="M1" t="s">
        <v>12</v>
      </c>
      <c r="N1" t="s">
        <v>13</v>
      </c>
      <c r="O1" s="9" t="s">
        <v>14</v>
      </c>
      <c r="P1" t="s">
        <v>15</v>
      </c>
      <c r="Q1" t="s">
        <v>16</v>
      </c>
    </row>
    <row r="2" spans="1:11">
      <c r="A2" s="2" t="s">
        <v>0</v>
      </c>
      <c r="K2" s="9"/>
    </row>
    <row r="3" spans="1:17">
      <c r="A3" s="5" t="s">
        <v>17</v>
      </c>
      <c r="B3" t="s">
        <v>18</v>
      </c>
      <c r="C3" t="s">
        <v>19</v>
      </c>
      <c r="D3" t="s">
        <v>19</v>
      </c>
      <c r="F3" t="s">
        <v>18</v>
      </c>
      <c r="G3" s="12" t="s">
        <v>20</v>
      </c>
      <c r="H3" t="s">
        <v>21</v>
      </c>
      <c r="I3" t="s">
        <v>22</v>
      </c>
      <c r="J3" t="s">
        <v>18</v>
      </c>
      <c r="K3" s="8" t="s">
        <v>23</v>
      </c>
      <c r="L3" t="s">
        <v>19</v>
      </c>
      <c r="M3" t="s">
        <v>18</v>
      </c>
      <c r="N3" t="s">
        <v>24</v>
      </c>
      <c r="O3" s="9" t="s">
        <v>25</v>
      </c>
      <c r="P3" s="9" t="s">
        <v>25</v>
      </c>
      <c r="Q3" t="s">
        <v>18</v>
      </c>
    </row>
    <row r="4" spans="1:11">
      <c r="A4" s="5" t="s">
        <v>26</v>
      </c>
      <c r="K4" s="8"/>
    </row>
    <row r="5" ht="28" spans="1:17">
      <c r="A5" s="2" t="s">
        <v>4</v>
      </c>
      <c r="B5" t="s">
        <v>1</v>
      </c>
      <c r="C5" t="s">
        <v>27</v>
      </c>
      <c r="D5" s="13" t="s">
        <v>28</v>
      </c>
      <c r="E5" s="13" t="s">
        <v>29</v>
      </c>
      <c r="F5" s="13" t="s">
        <v>30</v>
      </c>
      <c r="G5" s="14" t="s">
        <v>31</v>
      </c>
      <c r="H5" s="15" t="s">
        <v>32</v>
      </c>
      <c r="I5" t="s">
        <v>33</v>
      </c>
      <c r="J5" s="7" t="s">
        <v>34</v>
      </c>
      <c r="K5" s="8" t="s">
        <v>35</v>
      </c>
      <c r="L5" t="s">
        <v>36</v>
      </c>
      <c r="M5" s="15" t="s">
        <v>37</v>
      </c>
      <c r="N5" t="s">
        <v>38</v>
      </c>
      <c r="O5" s="9" t="s">
        <v>39</v>
      </c>
      <c r="P5" t="s">
        <v>40</v>
      </c>
      <c r="Q5" t="s">
        <v>41</v>
      </c>
    </row>
    <row r="6" ht="16.5" customHeight="1" spans="2:17">
      <c r="B6">
        <v>100101</v>
      </c>
      <c r="C6" t="s">
        <v>42</v>
      </c>
      <c r="D6" t="s">
        <v>43</v>
      </c>
      <c r="H6">
        <v>1</v>
      </c>
      <c r="L6" t="s">
        <v>44</v>
      </c>
      <c r="M6">
        <v>1800</v>
      </c>
      <c r="Q6">
        <v>0</v>
      </c>
    </row>
    <row r="7" ht="16.5" customHeight="1" spans="2:17">
      <c r="B7">
        <v>100102</v>
      </c>
      <c r="C7" t="s">
        <v>45</v>
      </c>
      <c r="D7" t="s">
        <v>46</v>
      </c>
      <c r="H7">
        <v>4</v>
      </c>
      <c r="L7" t="s">
        <v>47</v>
      </c>
      <c r="M7">
        <v>0</v>
      </c>
      <c r="Q7">
        <v>0</v>
      </c>
    </row>
    <row r="8" ht="16.5" customHeight="1" spans="2:17">
      <c r="B8">
        <v>100103</v>
      </c>
      <c r="C8" t="s">
        <v>48</v>
      </c>
      <c r="D8" t="s">
        <v>49</v>
      </c>
      <c r="H8">
        <v>3</v>
      </c>
      <c r="L8" t="s">
        <v>50</v>
      </c>
      <c r="M8">
        <v>0</v>
      </c>
      <c r="Q8">
        <v>0</v>
      </c>
    </row>
    <row r="9" ht="16.5" customHeight="1" spans="2:17">
      <c r="B9">
        <v>100104</v>
      </c>
      <c r="C9" t="s">
        <v>51</v>
      </c>
      <c r="D9" t="s">
        <v>52</v>
      </c>
      <c r="H9">
        <v>4</v>
      </c>
      <c r="L9" t="s">
        <v>47</v>
      </c>
      <c r="M9">
        <v>0</v>
      </c>
      <c r="Q9">
        <v>0</v>
      </c>
    </row>
    <row r="10" ht="16.5" customHeight="1" spans="2:17">
      <c r="B10">
        <v>10001</v>
      </c>
      <c r="C10" t="s">
        <v>53</v>
      </c>
      <c r="D10" t="s">
        <v>54</v>
      </c>
      <c r="E10" s="7" t="s">
        <v>55</v>
      </c>
      <c r="F10">
        <v>10001</v>
      </c>
      <c r="G10" s="12" t="s">
        <v>56</v>
      </c>
      <c r="H10">
        <v>3</v>
      </c>
      <c r="I10">
        <v>1</v>
      </c>
      <c r="J10">
        <v>1</v>
      </c>
      <c r="K10" s="8" t="s">
        <v>57</v>
      </c>
      <c r="M10">
        <v>0</v>
      </c>
      <c r="P10" s="7"/>
      <c r="Q10" s="7">
        <v>1000</v>
      </c>
    </row>
    <row r="11" ht="16.5" customHeight="1" spans="2:17">
      <c r="B11">
        <v>10002</v>
      </c>
      <c r="C11" t="s">
        <v>53</v>
      </c>
      <c r="D11" t="s">
        <v>58</v>
      </c>
      <c r="E11" s="7" t="s">
        <v>55</v>
      </c>
      <c r="F11">
        <v>10001</v>
      </c>
      <c r="G11" s="12" t="s">
        <v>59</v>
      </c>
      <c r="H11">
        <v>3</v>
      </c>
      <c r="I11">
        <v>2</v>
      </c>
      <c r="J11">
        <v>2</v>
      </c>
      <c r="K11" s="8" t="s">
        <v>60</v>
      </c>
      <c r="M11">
        <v>0</v>
      </c>
      <c r="P11" s="7"/>
      <c r="Q11" s="7">
        <v>2000</v>
      </c>
    </row>
    <row r="12" ht="16.5" customHeight="1" spans="2:17">
      <c r="B12">
        <v>10003</v>
      </c>
      <c r="C12" t="s">
        <v>53</v>
      </c>
      <c r="D12" t="s">
        <v>61</v>
      </c>
      <c r="E12" s="7" t="s">
        <v>55</v>
      </c>
      <c r="F12">
        <v>10001</v>
      </c>
      <c r="G12" s="16" t="s">
        <v>62</v>
      </c>
      <c r="H12">
        <v>3</v>
      </c>
      <c r="I12">
        <v>3</v>
      </c>
      <c r="J12">
        <v>3</v>
      </c>
      <c r="K12" s="8" t="s">
        <v>63</v>
      </c>
      <c r="M12">
        <v>0</v>
      </c>
      <c r="P12" s="7"/>
      <c r="Q12" s="7">
        <v>4000</v>
      </c>
    </row>
    <row r="13" ht="16.5" customHeight="1" spans="2:17">
      <c r="B13">
        <v>10004</v>
      </c>
      <c r="C13" t="s">
        <v>53</v>
      </c>
      <c r="D13" s="7" t="s">
        <v>64</v>
      </c>
      <c r="E13" s="7" t="s">
        <v>55</v>
      </c>
      <c r="F13">
        <v>10001</v>
      </c>
      <c r="G13" s="12" t="s">
        <v>65</v>
      </c>
      <c r="H13">
        <v>3</v>
      </c>
      <c r="I13">
        <v>4</v>
      </c>
      <c r="J13">
        <v>4</v>
      </c>
      <c r="K13" s="8" t="s">
        <v>66</v>
      </c>
      <c r="M13">
        <v>0</v>
      </c>
      <c r="P13" s="7"/>
      <c r="Q13" s="7">
        <v>8000</v>
      </c>
    </row>
    <row r="14" ht="16.5" customHeight="1" spans="2:17">
      <c r="B14">
        <v>10005</v>
      </c>
      <c r="C14" t="s">
        <v>53</v>
      </c>
      <c r="D14" t="s">
        <v>67</v>
      </c>
      <c r="E14" s="7" t="s">
        <v>55</v>
      </c>
      <c r="F14">
        <v>10001</v>
      </c>
      <c r="G14" s="12" t="s">
        <v>68</v>
      </c>
      <c r="H14">
        <v>3</v>
      </c>
      <c r="I14">
        <v>5</v>
      </c>
      <c r="J14">
        <v>5</v>
      </c>
      <c r="K14" s="8" t="s">
        <v>69</v>
      </c>
      <c r="M14">
        <v>0</v>
      </c>
      <c r="P14" s="7"/>
      <c r="Q14" s="7">
        <v>16000</v>
      </c>
    </row>
    <row r="15" ht="16.5" customHeight="1" spans="2:17">
      <c r="B15">
        <v>10006</v>
      </c>
      <c r="C15" t="s">
        <v>53</v>
      </c>
      <c r="D15" t="s">
        <v>70</v>
      </c>
      <c r="E15" s="7" t="s">
        <v>55</v>
      </c>
      <c r="F15">
        <v>10001</v>
      </c>
      <c r="G15" s="12" t="s">
        <v>71</v>
      </c>
      <c r="H15">
        <v>3</v>
      </c>
      <c r="I15">
        <v>6</v>
      </c>
      <c r="J15">
        <v>6</v>
      </c>
      <c r="K15" s="8" t="s">
        <v>72</v>
      </c>
      <c r="M15">
        <v>0</v>
      </c>
      <c r="P15" s="7"/>
      <c r="Q15" s="7">
        <v>32000</v>
      </c>
    </row>
    <row r="16" ht="16.5" customHeight="1" spans="2:17">
      <c r="B16">
        <v>10007</v>
      </c>
      <c r="C16" t="s">
        <v>53</v>
      </c>
      <c r="D16" t="s">
        <v>73</v>
      </c>
      <c r="E16" s="7" t="s">
        <v>55</v>
      </c>
      <c r="F16">
        <v>10001</v>
      </c>
      <c r="G16" s="12" t="s">
        <v>74</v>
      </c>
      <c r="H16">
        <v>3</v>
      </c>
      <c r="I16">
        <v>7</v>
      </c>
      <c r="J16">
        <v>7</v>
      </c>
      <c r="K16" s="8" t="s">
        <v>75</v>
      </c>
      <c r="M16">
        <v>0</v>
      </c>
      <c r="P16" s="7"/>
      <c r="Q16" s="7">
        <v>64000</v>
      </c>
    </row>
    <row r="17" ht="16.5" customHeight="1" spans="2:17">
      <c r="B17">
        <v>10008</v>
      </c>
      <c r="C17" t="s">
        <v>76</v>
      </c>
      <c r="D17" t="s">
        <v>77</v>
      </c>
      <c r="E17" s="7" t="s">
        <v>55</v>
      </c>
      <c r="F17">
        <v>10001</v>
      </c>
      <c r="G17" s="12" t="s">
        <v>78</v>
      </c>
      <c r="H17">
        <v>3</v>
      </c>
      <c r="I17">
        <v>7</v>
      </c>
      <c r="J17">
        <v>8</v>
      </c>
      <c r="K17" s="8" t="s">
        <v>79</v>
      </c>
      <c r="M17">
        <v>0</v>
      </c>
      <c r="P17" s="7"/>
      <c r="Q17" s="7">
        <v>128000</v>
      </c>
    </row>
    <row r="18" ht="16.5" customHeight="1" spans="2:17">
      <c r="B18">
        <v>10101</v>
      </c>
      <c r="C18" t="s">
        <v>80</v>
      </c>
      <c r="D18" t="s">
        <v>81</v>
      </c>
      <c r="E18" s="7" t="s">
        <v>82</v>
      </c>
      <c r="F18">
        <f t="shared" ref="F18:F49" si="0">F10+100</f>
        <v>10101</v>
      </c>
      <c r="G18" s="11" t="str">
        <f t="shared" ref="G18:G49" si="1">G10</f>
        <v>1,1,1000</v>
      </c>
      <c r="H18">
        <v>3</v>
      </c>
      <c r="I18">
        <v>1</v>
      </c>
      <c r="J18">
        <f t="shared" ref="J18:J49" si="2">J10</f>
        <v>1</v>
      </c>
      <c r="K18" s="8" t="s">
        <v>83</v>
      </c>
      <c r="M18">
        <v>0</v>
      </c>
      <c r="P18" s="7"/>
      <c r="Q18" s="7">
        <f t="shared" ref="Q18:Q49" si="3">Q10</f>
        <v>1000</v>
      </c>
    </row>
    <row r="19" ht="16.5" customHeight="1" spans="2:17">
      <c r="B19">
        <v>10102</v>
      </c>
      <c r="C19" t="s">
        <v>80</v>
      </c>
      <c r="D19" t="s">
        <v>84</v>
      </c>
      <c r="E19" s="7" t="s">
        <v>82</v>
      </c>
      <c r="F19">
        <f t="shared" si="0"/>
        <v>10101</v>
      </c>
      <c r="G19" s="11" t="str">
        <f t="shared" si="1"/>
        <v>1,1,2000</v>
      </c>
      <c r="H19">
        <v>3</v>
      </c>
      <c r="I19">
        <v>2</v>
      </c>
      <c r="J19">
        <f t="shared" si="2"/>
        <v>2</v>
      </c>
      <c r="K19" s="8" t="s">
        <v>85</v>
      </c>
      <c r="M19">
        <v>0</v>
      </c>
      <c r="P19" s="7"/>
      <c r="Q19" s="7">
        <f t="shared" si="3"/>
        <v>2000</v>
      </c>
    </row>
    <row r="20" ht="16.5" customHeight="1" spans="2:17">
      <c r="B20">
        <v>10103</v>
      </c>
      <c r="C20" t="s">
        <v>80</v>
      </c>
      <c r="D20" t="s">
        <v>86</v>
      </c>
      <c r="E20" s="7" t="s">
        <v>82</v>
      </c>
      <c r="F20">
        <f t="shared" si="0"/>
        <v>10101</v>
      </c>
      <c r="G20" s="11" t="str">
        <f t="shared" si="1"/>
        <v>1,1,4000</v>
      </c>
      <c r="H20">
        <v>3</v>
      </c>
      <c r="I20">
        <v>3</v>
      </c>
      <c r="J20">
        <f t="shared" si="2"/>
        <v>3</v>
      </c>
      <c r="K20" s="8" t="s">
        <v>87</v>
      </c>
      <c r="M20">
        <v>0</v>
      </c>
      <c r="P20" s="7"/>
      <c r="Q20" s="7">
        <f t="shared" si="3"/>
        <v>4000</v>
      </c>
    </row>
    <row r="21" ht="16.5" customHeight="1" spans="2:17">
      <c r="B21">
        <v>10104</v>
      </c>
      <c r="C21" t="s">
        <v>80</v>
      </c>
      <c r="D21" t="s">
        <v>88</v>
      </c>
      <c r="E21" s="7" t="s">
        <v>82</v>
      </c>
      <c r="F21">
        <f t="shared" si="0"/>
        <v>10101</v>
      </c>
      <c r="G21" s="11" t="str">
        <f t="shared" si="1"/>
        <v>1,1,8000</v>
      </c>
      <c r="H21">
        <v>3</v>
      </c>
      <c r="I21">
        <v>4</v>
      </c>
      <c r="J21">
        <f t="shared" si="2"/>
        <v>4</v>
      </c>
      <c r="K21" s="8" t="s">
        <v>89</v>
      </c>
      <c r="M21">
        <v>0</v>
      </c>
      <c r="P21" s="7"/>
      <c r="Q21" s="7">
        <f t="shared" si="3"/>
        <v>8000</v>
      </c>
    </row>
    <row r="22" ht="16.5" customHeight="1" spans="2:17">
      <c r="B22">
        <v>10105</v>
      </c>
      <c r="C22" t="s">
        <v>80</v>
      </c>
      <c r="D22" t="s">
        <v>90</v>
      </c>
      <c r="E22" s="7" t="s">
        <v>82</v>
      </c>
      <c r="F22">
        <f t="shared" si="0"/>
        <v>10101</v>
      </c>
      <c r="G22" s="11" t="str">
        <f t="shared" si="1"/>
        <v>1,1,16000</v>
      </c>
      <c r="H22">
        <v>3</v>
      </c>
      <c r="I22">
        <v>5</v>
      </c>
      <c r="J22">
        <f t="shared" si="2"/>
        <v>5</v>
      </c>
      <c r="K22" s="8" t="s">
        <v>91</v>
      </c>
      <c r="M22">
        <v>0</v>
      </c>
      <c r="P22" s="7"/>
      <c r="Q22" s="7">
        <f t="shared" si="3"/>
        <v>16000</v>
      </c>
    </row>
    <row r="23" ht="16.5" customHeight="1" spans="2:17">
      <c r="B23">
        <v>10106</v>
      </c>
      <c r="C23" t="s">
        <v>80</v>
      </c>
      <c r="D23" t="s">
        <v>92</v>
      </c>
      <c r="E23" s="7" t="s">
        <v>82</v>
      </c>
      <c r="F23">
        <f t="shared" si="0"/>
        <v>10101</v>
      </c>
      <c r="G23" s="11" t="str">
        <f t="shared" si="1"/>
        <v>1,1,32000</v>
      </c>
      <c r="H23">
        <v>3</v>
      </c>
      <c r="I23">
        <v>6</v>
      </c>
      <c r="J23">
        <f t="shared" si="2"/>
        <v>6</v>
      </c>
      <c r="K23" s="8" t="s">
        <v>93</v>
      </c>
      <c r="M23">
        <v>0</v>
      </c>
      <c r="P23" s="7"/>
      <c r="Q23" s="7">
        <f t="shared" si="3"/>
        <v>32000</v>
      </c>
    </row>
    <row r="24" ht="16.5" customHeight="1" spans="2:17">
      <c r="B24">
        <v>10107</v>
      </c>
      <c r="C24" t="s">
        <v>80</v>
      </c>
      <c r="D24" t="s">
        <v>94</v>
      </c>
      <c r="E24" s="7" t="s">
        <v>82</v>
      </c>
      <c r="F24">
        <f t="shared" si="0"/>
        <v>10101</v>
      </c>
      <c r="G24" s="11" t="str">
        <f t="shared" si="1"/>
        <v>1,1011,1</v>
      </c>
      <c r="H24">
        <v>3</v>
      </c>
      <c r="I24">
        <v>7</v>
      </c>
      <c r="J24">
        <f t="shared" si="2"/>
        <v>7</v>
      </c>
      <c r="K24" s="8" t="s">
        <v>95</v>
      </c>
      <c r="M24">
        <v>0</v>
      </c>
      <c r="P24" s="7"/>
      <c r="Q24" s="7">
        <f t="shared" si="3"/>
        <v>64000</v>
      </c>
    </row>
    <row r="25" ht="16.5" customHeight="1" spans="2:17">
      <c r="B25">
        <v>10108</v>
      </c>
      <c r="C25" t="s">
        <v>96</v>
      </c>
      <c r="D25" t="s">
        <v>97</v>
      </c>
      <c r="E25" s="7" t="s">
        <v>82</v>
      </c>
      <c r="F25">
        <f t="shared" si="0"/>
        <v>10101</v>
      </c>
      <c r="G25" s="11" t="str">
        <f t="shared" si="1"/>
        <v>1,1011,6</v>
      </c>
      <c r="H25">
        <v>3</v>
      </c>
      <c r="I25">
        <v>7</v>
      </c>
      <c r="J25">
        <f t="shared" si="2"/>
        <v>8</v>
      </c>
      <c r="K25" s="8" t="s">
        <v>98</v>
      </c>
      <c r="M25">
        <v>0</v>
      </c>
      <c r="P25" s="7"/>
      <c r="Q25" s="7">
        <f t="shared" si="3"/>
        <v>128000</v>
      </c>
    </row>
    <row r="26" ht="16.5" customHeight="1" spans="2:17">
      <c r="B26">
        <v>10201</v>
      </c>
      <c r="C26" t="s">
        <v>99</v>
      </c>
      <c r="D26" s="7" t="s">
        <v>100</v>
      </c>
      <c r="E26" s="7" t="s">
        <v>82</v>
      </c>
      <c r="F26">
        <f t="shared" si="0"/>
        <v>10201</v>
      </c>
      <c r="G26" s="11" t="str">
        <f t="shared" si="1"/>
        <v>1,1,1000</v>
      </c>
      <c r="H26">
        <v>3</v>
      </c>
      <c r="I26">
        <v>1</v>
      </c>
      <c r="J26">
        <f t="shared" si="2"/>
        <v>1</v>
      </c>
      <c r="M26">
        <v>0</v>
      </c>
      <c r="N26">
        <v>10201</v>
      </c>
      <c r="P26" s="7"/>
      <c r="Q26" s="7">
        <f t="shared" si="3"/>
        <v>1000</v>
      </c>
    </row>
    <row r="27" ht="16.5" customHeight="1" spans="2:17">
      <c r="B27">
        <v>10202</v>
      </c>
      <c r="C27" t="s">
        <v>99</v>
      </c>
      <c r="D27" s="7" t="s">
        <v>101</v>
      </c>
      <c r="E27" s="7" t="s">
        <v>82</v>
      </c>
      <c r="F27">
        <f t="shared" si="0"/>
        <v>10201</v>
      </c>
      <c r="G27" s="11" t="str">
        <f t="shared" si="1"/>
        <v>1,1,2000</v>
      </c>
      <c r="H27">
        <v>3</v>
      </c>
      <c r="I27">
        <v>2</v>
      </c>
      <c r="J27">
        <f t="shared" si="2"/>
        <v>2</v>
      </c>
      <c r="M27">
        <v>0</v>
      </c>
      <c r="N27">
        <v>10202</v>
      </c>
      <c r="P27" s="7"/>
      <c r="Q27" s="7">
        <f t="shared" si="3"/>
        <v>2000</v>
      </c>
    </row>
    <row r="28" ht="16.5" customHeight="1" spans="2:17">
      <c r="B28">
        <v>10203</v>
      </c>
      <c r="C28" t="s">
        <v>99</v>
      </c>
      <c r="D28" s="7" t="s">
        <v>102</v>
      </c>
      <c r="E28" s="7" t="s">
        <v>82</v>
      </c>
      <c r="F28">
        <f t="shared" si="0"/>
        <v>10201</v>
      </c>
      <c r="G28" s="11" t="str">
        <f t="shared" si="1"/>
        <v>1,1,4000</v>
      </c>
      <c r="H28">
        <v>3</v>
      </c>
      <c r="I28">
        <v>3</v>
      </c>
      <c r="J28">
        <f t="shared" si="2"/>
        <v>3</v>
      </c>
      <c r="M28">
        <v>0</v>
      </c>
      <c r="N28">
        <v>10203</v>
      </c>
      <c r="P28" s="7"/>
      <c r="Q28" s="7">
        <f t="shared" si="3"/>
        <v>4000</v>
      </c>
    </row>
    <row r="29" ht="16.5" customHeight="1" spans="2:17">
      <c r="B29">
        <v>10204</v>
      </c>
      <c r="C29" t="s">
        <v>99</v>
      </c>
      <c r="D29" s="7" t="s">
        <v>103</v>
      </c>
      <c r="E29" s="7" t="s">
        <v>82</v>
      </c>
      <c r="F29">
        <f t="shared" si="0"/>
        <v>10201</v>
      </c>
      <c r="G29" s="11" t="str">
        <f t="shared" si="1"/>
        <v>1,1,8000</v>
      </c>
      <c r="H29">
        <v>3</v>
      </c>
      <c r="I29">
        <v>4</v>
      </c>
      <c r="J29">
        <f t="shared" si="2"/>
        <v>4</v>
      </c>
      <c r="M29">
        <v>0</v>
      </c>
      <c r="N29">
        <v>10204</v>
      </c>
      <c r="P29" s="7"/>
      <c r="Q29" s="7">
        <f t="shared" si="3"/>
        <v>8000</v>
      </c>
    </row>
    <row r="30" ht="16.5" customHeight="1" spans="2:17">
      <c r="B30">
        <v>10205</v>
      </c>
      <c r="C30" t="s">
        <v>99</v>
      </c>
      <c r="D30" s="7" t="s">
        <v>104</v>
      </c>
      <c r="E30" s="7" t="s">
        <v>82</v>
      </c>
      <c r="F30">
        <f t="shared" si="0"/>
        <v>10201</v>
      </c>
      <c r="G30" s="11" t="str">
        <f t="shared" si="1"/>
        <v>1,1,16000</v>
      </c>
      <c r="H30">
        <v>3</v>
      </c>
      <c r="I30">
        <v>5</v>
      </c>
      <c r="J30">
        <f t="shared" si="2"/>
        <v>5</v>
      </c>
      <c r="M30">
        <v>0</v>
      </c>
      <c r="N30">
        <v>10205</v>
      </c>
      <c r="P30" s="7"/>
      <c r="Q30" s="7">
        <f t="shared" si="3"/>
        <v>16000</v>
      </c>
    </row>
    <row r="31" ht="16.5" customHeight="1" spans="2:17">
      <c r="B31">
        <v>10206</v>
      </c>
      <c r="C31" t="s">
        <v>99</v>
      </c>
      <c r="D31" s="7" t="s">
        <v>105</v>
      </c>
      <c r="E31" s="7" t="s">
        <v>82</v>
      </c>
      <c r="F31">
        <f t="shared" si="0"/>
        <v>10201</v>
      </c>
      <c r="G31" s="11" t="str">
        <f t="shared" si="1"/>
        <v>1,1,32000</v>
      </c>
      <c r="H31">
        <v>3</v>
      </c>
      <c r="I31">
        <v>6</v>
      </c>
      <c r="J31">
        <f t="shared" si="2"/>
        <v>6</v>
      </c>
      <c r="M31">
        <v>0</v>
      </c>
      <c r="N31">
        <v>10206</v>
      </c>
      <c r="P31" s="7"/>
      <c r="Q31" s="7">
        <f t="shared" si="3"/>
        <v>32000</v>
      </c>
    </row>
    <row r="32" ht="16.5" customHeight="1" spans="2:17">
      <c r="B32">
        <v>10207</v>
      </c>
      <c r="C32" t="s">
        <v>99</v>
      </c>
      <c r="D32" s="7" t="s">
        <v>106</v>
      </c>
      <c r="E32" s="7" t="s">
        <v>82</v>
      </c>
      <c r="F32">
        <f t="shared" si="0"/>
        <v>10201</v>
      </c>
      <c r="G32" s="11" t="str">
        <f t="shared" si="1"/>
        <v>1,1011,1</v>
      </c>
      <c r="H32">
        <v>3</v>
      </c>
      <c r="I32">
        <v>7</v>
      </c>
      <c r="J32">
        <f t="shared" si="2"/>
        <v>7</v>
      </c>
      <c r="M32">
        <v>0</v>
      </c>
      <c r="N32">
        <v>10207</v>
      </c>
      <c r="P32" s="7"/>
      <c r="Q32" s="7">
        <f t="shared" si="3"/>
        <v>64000</v>
      </c>
    </row>
    <row r="33" ht="16.5" customHeight="1" spans="2:17">
      <c r="B33">
        <v>10208</v>
      </c>
      <c r="C33" t="s">
        <v>107</v>
      </c>
      <c r="D33" s="7" t="s">
        <v>108</v>
      </c>
      <c r="E33" s="7" t="s">
        <v>82</v>
      </c>
      <c r="F33">
        <f t="shared" si="0"/>
        <v>10201</v>
      </c>
      <c r="G33" s="11" t="str">
        <f t="shared" si="1"/>
        <v>1,1011,6</v>
      </c>
      <c r="H33">
        <v>3</v>
      </c>
      <c r="I33">
        <v>7</v>
      </c>
      <c r="J33">
        <f t="shared" si="2"/>
        <v>8</v>
      </c>
      <c r="M33">
        <v>0</v>
      </c>
      <c r="N33">
        <v>10208</v>
      </c>
      <c r="P33" s="7"/>
      <c r="Q33" s="7">
        <f t="shared" si="3"/>
        <v>128000</v>
      </c>
    </row>
    <row r="34" ht="16.5" customHeight="1" spans="2:17">
      <c r="B34">
        <v>10301</v>
      </c>
      <c r="C34" t="s">
        <v>109</v>
      </c>
      <c r="D34" t="s">
        <v>110</v>
      </c>
      <c r="E34" s="7" t="s">
        <v>82</v>
      </c>
      <c r="F34">
        <f t="shared" si="0"/>
        <v>10301</v>
      </c>
      <c r="G34" s="11" t="str">
        <f t="shared" si="1"/>
        <v>1,1,1000</v>
      </c>
      <c r="H34">
        <v>3</v>
      </c>
      <c r="I34">
        <v>1</v>
      </c>
      <c r="J34">
        <f t="shared" si="2"/>
        <v>1</v>
      </c>
      <c r="K34" s="8" t="s">
        <v>111</v>
      </c>
      <c r="M34">
        <v>0</v>
      </c>
      <c r="N34">
        <v>10301</v>
      </c>
      <c r="P34" s="7"/>
      <c r="Q34" s="7">
        <f t="shared" si="3"/>
        <v>1000</v>
      </c>
    </row>
    <row r="35" ht="16.5" customHeight="1" spans="2:17">
      <c r="B35">
        <v>10302</v>
      </c>
      <c r="C35" t="s">
        <v>109</v>
      </c>
      <c r="D35" t="s">
        <v>112</v>
      </c>
      <c r="E35" s="7" t="s">
        <v>82</v>
      </c>
      <c r="F35">
        <f t="shared" si="0"/>
        <v>10301</v>
      </c>
      <c r="G35" s="11" t="str">
        <f t="shared" si="1"/>
        <v>1,1,2000</v>
      </c>
      <c r="H35">
        <v>3</v>
      </c>
      <c r="I35">
        <v>2</v>
      </c>
      <c r="J35">
        <f t="shared" si="2"/>
        <v>2</v>
      </c>
      <c r="K35" s="8" t="s">
        <v>113</v>
      </c>
      <c r="M35">
        <v>0</v>
      </c>
      <c r="N35">
        <v>10302</v>
      </c>
      <c r="P35" s="7"/>
      <c r="Q35" s="7">
        <f t="shared" si="3"/>
        <v>2000</v>
      </c>
    </row>
    <row r="36" ht="16.5" customHeight="1" spans="2:17">
      <c r="B36">
        <v>10303</v>
      </c>
      <c r="C36" t="s">
        <v>109</v>
      </c>
      <c r="D36" t="s">
        <v>114</v>
      </c>
      <c r="E36" s="7" t="s">
        <v>82</v>
      </c>
      <c r="F36">
        <f t="shared" si="0"/>
        <v>10301</v>
      </c>
      <c r="G36" s="11" t="str">
        <f t="shared" si="1"/>
        <v>1,1,4000</v>
      </c>
      <c r="H36">
        <v>3</v>
      </c>
      <c r="I36">
        <v>3</v>
      </c>
      <c r="J36">
        <f t="shared" si="2"/>
        <v>3</v>
      </c>
      <c r="K36" s="8" t="s">
        <v>115</v>
      </c>
      <c r="M36">
        <v>0</v>
      </c>
      <c r="N36">
        <v>10303</v>
      </c>
      <c r="P36" s="7"/>
      <c r="Q36" s="7">
        <f t="shared" si="3"/>
        <v>4000</v>
      </c>
    </row>
    <row r="37" ht="16.5" customHeight="1" spans="2:17">
      <c r="B37">
        <v>10304</v>
      </c>
      <c r="C37" t="s">
        <v>109</v>
      </c>
      <c r="D37" t="s">
        <v>116</v>
      </c>
      <c r="E37" s="7" t="s">
        <v>82</v>
      </c>
      <c r="F37">
        <f t="shared" si="0"/>
        <v>10301</v>
      </c>
      <c r="G37" s="11" t="str">
        <f t="shared" si="1"/>
        <v>1,1,8000</v>
      </c>
      <c r="H37">
        <v>3</v>
      </c>
      <c r="I37">
        <v>4</v>
      </c>
      <c r="J37">
        <f t="shared" si="2"/>
        <v>4</v>
      </c>
      <c r="K37" s="8" t="s">
        <v>117</v>
      </c>
      <c r="M37">
        <v>0</v>
      </c>
      <c r="N37">
        <v>10304</v>
      </c>
      <c r="P37" s="7"/>
      <c r="Q37" s="7">
        <f t="shared" si="3"/>
        <v>8000</v>
      </c>
    </row>
    <row r="38" ht="16.5" customHeight="1" spans="2:17">
      <c r="B38">
        <v>10305</v>
      </c>
      <c r="C38" t="s">
        <v>109</v>
      </c>
      <c r="D38" t="s">
        <v>118</v>
      </c>
      <c r="E38" s="7" t="s">
        <v>82</v>
      </c>
      <c r="F38">
        <f t="shared" si="0"/>
        <v>10301</v>
      </c>
      <c r="G38" s="11" t="str">
        <f t="shared" si="1"/>
        <v>1,1,16000</v>
      </c>
      <c r="H38">
        <v>3</v>
      </c>
      <c r="I38">
        <v>5</v>
      </c>
      <c r="J38">
        <f t="shared" si="2"/>
        <v>5</v>
      </c>
      <c r="K38" s="8" t="s">
        <v>119</v>
      </c>
      <c r="M38">
        <v>0</v>
      </c>
      <c r="N38">
        <v>10305</v>
      </c>
      <c r="P38" s="7"/>
      <c r="Q38" s="7">
        <f t="shared" si="3"/>
        <v>16000</v>
      </c>
    </row>
    <row r="39" ht="16.5" customHeight="1" spans="2:17">
      <c r="B39">
        <v>10306</v>
      </c>
      <c r="C39" t="s">
        <v>109</v>
      </c>
      <c r="D39" t="s">
        <v>120</v>
      </c>
      <c r="E39" s="7" t="s">
        <v>82</v>
      </c>
      <c r="F39">
        <f t="shared" si="0"/>
        <v>10301</v>
      </c>
      <c r="G39" s="11" t="str">
        <f t="shared" si="1"/>
        <v>1,1,32000</v>
      </c>
      <c r="H39">
        <v>3</v>
      </c>
      <c r="I39">
        <v>6</v>
      </c>
      <c r="J39">
        <f t="shared" si="2"/>
        <v>6</v>
      </c>
      <c r="K39" s="8" t="s">
        <v>121</v>
      </c>
      <c r="M39">
        <v>0</v>
      </c>
      <c r="N39">
        <v>10306</v>
      </c>
      <c r="P39" s="7"/>
      <c r="Q39" s="7">
        <f t="shared" si="3"/>
        <v>32000</v>
      </c>
    </row>
    <row r="40" ht="16.5" customHeight="1" spans="2:17">
      <c r="B40">
        <v>10307</v>
      </c>
      <c r="C40" t="s">
        <v>109</v>
      </c>
      <c r="D40" t="s">
        <v>122</v>
      </c>
      <c r="E40" s="7" t="s">
        <v>82</v>
      </c>
      <c r="F40">
        <f t="shared" si="0"/>
        <v>10301</v>
      </c>
      <c r="G40" s="11" t="str">
        <f t="shared" si="1"/>
        <v>1,1011,1</v>
      </c>
      <c r="H40">
        <v>3</v>
      </c>
      <c r="I40">
        <v>7</v>
      </c>
      <c r="J40">
        <f t="shared" si="2"/>
        <v>7</v>
      </c>
      <c r="K40" s="8" t="s">
        <v>123</v>
      </c>
      <c r="M40">
        <v>0</v>
      </c>
      <c r="N40">
        <v>10307</v>
      </c>
      <c r="P40" s="7"/>
      <c r="Q40" s="7">
        <f t="shared" si="3"/>
        <v>64000</v>
      </c>
    </row>
    <row r="41" ht="16.5" customHeight="1" spans="2:17">
      <c r="B41">
        <v>10308</v>
      </c>
      <c r="C41" t="s">
        <v>124</v>
      </c>
      <c r="D41" t="s">
        <v>125</v>
      </c>
      <c r="E41" s="7" t="s">
        <v>82</v>
      </c>
      <c r="F41">
        <f t="shared" si="0"/>
        <v>10301</v>
      </c>
      <c r="G41" s="11" t="str">
        <f t="shared" si="1"/>
        <v>1,1011,6</v>
      </c>
      <c r="H41">
        <v>3</v>
      </c>
      <c r="I41">
        <v>7</v>
      </c>
      <c r="J41">
        <f t="shared" si="2"/>
        <v>8</v>
      </c>
      <c r="K41" s="8" t="s">
        <v>123</v>
      </c>
      <c r="M41">
        <v>0</v>
      </c>
      <c r="N41">
        <v>10308</v>
      </c>
      <c r="P41" s="7"/>
      <c r="Q41" s="7">
        <f t="shared" si="3"/>
        <v>128000</v>
      </c>
    </row>
    <row r="42" ht="16.5" customHeight="1" spans="2:17">
      <c r="B42">
        <v>10401</v>
      </c>
      <c r="C42" t="s">
        <v>126</v>
      </c>
      <c r="D42" t="s">
        <v>127</v>
      </c>
      <c r="E42" s="7" t="s">
        <v>82</v>
      </c>
      <c r="F42">
        <f t="shared" si="0"/>
        <v>10401</v>
      </c>
      <c r="G42" s="11" t="str">
        <f t="shared" si="1"/>
        <v>1,1,1000</v>
      </c>
      <c r="H42">
        <v>3</v>
      </c>
      <c r="I42">
        <v>1</v>
      </c>
      <c r="J42">
        <f t="shared" si="2"/>
        <v>1</v>
      </c>
      <c r="M42">
        <v>0</v>
      </c>
      <c r="N42">
        <v>10401</v>
      </c>
      <c r="O42" s="9" t="s">
        <v>128</v>
      </c>
      <c r="P42" s="7"/>
      <c r="Q42" s="7">
        <f t="shared" si="3"/>
        <v>1000</v>
      </c>
    </row>
    <row r="43" ht="16.5" customHeight="1" spans="2:17">
      <c r="B43">
        <v>10402</v>
      </c>
      <c r="C43" t="s">
        <v>126</v>
      </c>
      <c r="D43" t="s">
        <v>129</v>
      </c>
      <c r="E43" s="7" t="s">
        <v>82</v>
      </c>
      <c r="F43">
        <f t="shared" si="0"/>
        <v>10401</v>
      </c>
      <c r="G43" s="11" t="str">
        <f t="shared" si="1"/>
        <v>1,1,2000</v>
      </c>
      <c r="H43">
        <v>3</v>
      </c>
      <c r="I43">
        <v>2</v>
      </c>
      <c r="J43">
        <f t="shared" si="2"/>
        <v>2</v>
      </c>
      <c r="M43">
        <v>0</v>
      </c>
      <c r="N43">
        <v>10402</v>
      </c>
      <c r="O43" t="s">
        <v>128</v>
      </c>
      <c r="P43" s="7"/>
      <c r="Q43" s="7">
        <f t="shared" si="3"/>
        <v>2000</v>
      </c>
    </row>
    <row r="44" ht="16.5" customHeight="1" spans="2:17">
      <c r="B44">
        <v>10403</v>
      </c>
      <c r="C44" t="s">
        <v>126</v>
      </c>
      <c r="D44" t="s">
        <v>130</v>
      </c>
      <c r="E44" s="7" t="s">
        <v>82</v>
      </c>
      <c r="F44">
        <f t="shared" si="0"/>
        <v>10401</v>
      </c>
      <c r="G44" s="11" t="str">
        <f t="shared" si="1"/>
        <v>1,1,4000</v>
      </c>
      <c r="H44">
        <v>3</v>
      </c>
      <c r="I44">
        <v>3</v>
      </c>
      <c r="J44">
        <f t="shared" si="2"/>
        <v>3</v>
      </c>
      <c r="M44">
        <v>0</v>
      </c>
      <c r="N44">
        <v>10403</v>
      </c>
      <c r="O44" t="s">
        <v>128</v>
      </c>
      <c r="P44" s="7"/>
      <c r="Q44" s="7">
        <f t="shared" si="3"/>
        <v>4000</v>
      </c>
    </row>
    <row r="45" ht="16.5" customHeight="1" spans="2:17">
      <c r="B45">
        <v>10404</v>
      </c>
      <c r="C45" t="s">
        <v>126</v>
      </c>
      <c r="D45" t="s">
        <v>131</v>
      </c>
      <c r="E45" s="7" t="s">
        <v>82</v>
      </c>
      <c r="F45">
        <f t="shared" si="0"/>
        <v>10401</v>
      </c>
      <c r="G45" s="11" t="str">
        <f t="shared" si="1"/>
        <v>1,1,8000</v>
      </c>
      <c r="H45">
        <v>3</v>
      </c>
      <c r="I45">
        <v>4</v>
      </c>
      <c r="J45">
        <f t="shared" si="2"/>
        <v>4</v>
      </c>
      <c r="M45">
        <v>0</v>
      </c>
      <c r="N45">
        <v>10404</v>
      </c>
      <c r="O45" t="s">
        <v>128</v>
      </c>
      <c r="P45" s="7"/>
      <c r="Q45" s="7">
        <f t="shared" si="3"/>
        <v>8000</v>
      </c>
    </row>
    <row r="46" s="10" customFormat="1" ht="16.5" customHeight="1" spans="2:17">
      <c r="B46" s="10">
        <v>10405</v>
      </c>
      <c r="C46" s="10" t="s">
        <v>126</v>
      </c>
      <c r="D46" s="10" t="s">
        <v>132</v>
      </c>
      <c r="E46" s="17" t="s">
        <v>82</v>
      </c>
      <c r="F46" s="10">
        <f t="shared" si="0"/>
        <v>10401</v>
      </c>
      <c r="G46" s="18" t="str">
        <f t="shared" si="1"/>
        <v>1,1,16000</v>
      </c>
      <c r="H46" s="10">
        <v>3</v>
      </c>
      <c r="I46" s="10">
        <v>5</v>
      </c>
      <c r="J46" s="10">
        <f t="shared" si="2"/>
        <v>5</v>
      </c>
      <c r="M46" s="10">
        <v>0</v>
      </c>
      <c r="N46" s="10">
        <v>10405</v>
      </c>
      <c r="O46" s="10" t="s">
        <v>133</v>
      </c>
      <c r="P46" s="17"/>
      <c r="Q46" s="17">
        <f t="shared" si="3"/>
        <v>16000</v>
      </c>
    </row>
    <row r="47" s="10" customFormat="1" ht="16.5" customHeight="1" spans="2:17">
      <c r="B47" s="10">
        <v>10406</v>
      </c>
      <c r="C47" s="10" t="s">
        <v>126</v>
      </c>
      <c r="D47" s="10" t="s">
        <v>134</v>
      </c>
      <c r="E47" s="17" t="s">
        <v>82</v>
      </c>
      <c r="F47" s="10">
        <f t="shared" si="0"/>
        <v>10401</v>
      </c>
      <c r="G47" s="18" t="str">
        <f t="shared" si="1"/>
        <v>1,1,32000</v>
      </c>
      <c r="H47" s="10">
        <v>3</v>
      </c>
      <c r="I47" s="10">
        <v>6</v>
      </c>
      <c r="J47" s="10">
        <f t="shared" si="2"/>
        <v>6</v>
      </c>
      <c r="M47" s="10">
        <v>0</v>
      </c>
      <c r="N47" s="10">
        <v>10406</v>
      </c>
      <c r="O47" s="10" t="s">
        <v>133</v>
      </c>
      <c r="P47" s="17"/>
      <c r="Q47" s="17">
        <f t="shared" si="3"/>
        <v>32000</v>
      </c>
    </row>
    <row r="48" s="10" customFormat="1" ht="16.5" customHeight="1" spans="2:17">
      <c r="B48" s="10">
        <v>10407</v>
      </c>
      <c r="C48" s="10" t="s">
        <v>126</v>
      </c>
      <c r="D48" s="10" t="s">
        <v>135</v>
      </c>
      <c r="E48" s="17" t="s">
        <v>82</v>
      </c>
      <c r="F48" s="10">
        <f t="shared" si="0"/>
        <v>10401</v>
      </c>
      <c r="G48" s="18" t="str">
        <f t="shared" si="1"/>
        <v>1,1011,1</v>
      </c>
      <c r="H48" s="10">
        <v>3</v>
      </c>
      <c r="I48" s="10">
        <v>7</v>
      </c>
      <c r="J48" s="10">
        <f t="shared" si="2"/>
        <v>7</v>
      </c>
      <c r="M48" s="10">
        <v>0</v>
      </c>
      <c r="N48" s="10">
        <v>10407</v>
      </c>
      <c r="O48" s="10" t="s">
        <v>136</v>
      </c>
      <c r="P48" s="17"/>
      <c r="Q48" s="17">
        <f t="shared" si="3"/>
        <v>64000</v>
      </c>
    </row>
    <row r="49" s="10" customFormat="1" ht="16.5" customHeight="1" spans="2:17">
      <c r="B49" s="10">
        <v>10408</v>
      </c>
      <c r="C49" s="10" t="s">
        <v>137</v>
      </c>
      <c r="D49" s="10" t="s">
        <v>138</v>
      </c>
      <c r="E49" s="17" t="s">
        <v>82</v>
      </c>
      <c r="F49" s="10">
        <f t="shared" si="0"/>
        <v>10401</v>
      </c>
      <c r="G49" s="18" t="str">
        <f t="shared" si="1"/>
        <v>1,1011,6</v>
      </c>
      <c r="H49" s="10">
        <v>3</v>
      </c>
      <c r="I49" s="10">
        <v>7</v>
      </c>
      <c r="J49" s="10">
        <f t="shared" si="2"/>
        <v>8</v>
      </c>
      <c r="M49" s="10">
        <v>0</v>
      </c>
      <c r="N49" s="10">
        <v>10408</v>
      </c>
      <c r="O49" s="10" t="s">
        <v>136</v>
      </c>
      <c r="P49" s="17"/>
      <c r="Q49" s="17">
        <f t="shared" si="3"/>
        <v>128000</v>
      </c>
    </row>
    <row r="50" ht="16.5" customHeight="1" spans="2:17">
      <c r="B50">
        <v>10501</v>
      </c>
      <c r="C50" s="7" t="s">
        <v>139</v>
      </c>
      <c r="D50" t="s">
        <v>140</v>
      </c>
      <c r="E50" s="7" t="s">
        <v>82</v>
      </c>
      <c r="F50">
        <f t="shared" ref="F50:F81" si="4">F42+100</f>
        <v>10501</v>
      </c>
      <c r="G50" s="11" t="str">
        <f t="shared" ref="G50:G81" si="5">G42</f>
        <v>1,1,1000</v>
      </c>
      <c r="H50">
        <v>3</v>
      </c>
      <c r="I50">
        <v>1</v>
      </c>
      <c r="J50">
        <f t="shared" ref="J50:J81" si="6">J42</f>
        <v>1</v>
      </c>
      <c r="M50">
        <v>0</v>
      </c>
      <c r="N50">
        <v>10501</v>
      </c>
      <c r="O50" t="s">
        <v>141</v>
      </c>
      <c r="P50" s="7"/>
      <c r="Q50" s="7">
        <f t="shared" ref="Q50:Q81" si="7">Q42</f>
        <v>1000</v>
      </c>
    </row>
    <row r="51" ht="16.5" customHeight="1" spans="2:17">
      <c r="B51">
        <v>10502</v>
      </c>
      <c r="C51" s="7" t="s">
        <v>139</v>
      </c>
      <c r="D51" t="s">
        <v>142</v>
      </c>
      <c r="E51" s="7" t="s">
        <v>82</v>
      </c>
      <c r="F51">
        <f t="shared" si="4"/>
        <v>10501</v>
      </c>
      <c r="G51" s="11" t="str">
        <f t="shared" si="5"/>
        <v>1,1,2000</v>
      </c>
      <c r="H51">
        <v>3</v>
      </c>
      <c r="I51">
        <v>2</v>
      </c>
      <c r="J51">
        <f t="shared" si="6"/>
        <v>2</v>
      </c>
      <c r="M51">
        <v>0</v>
      </c>
      <c r="N51">
        <v>10502</v>
      </c>
      <c r="O51" t="s">
        <v>141</v>
      </c>
      <c r="P51" s="7"/>
      <c r="Q51" s="7">
        <f t="shared" si="7"/>
        <v>2000</v>
      </c>
    </row>
    <row r="52" ht="16.5" customHeight="1" spans="2:17">
      <c r="B52">
        <v>10503</v>
      </c>
      <c r="C52" s="7" t="s">
        <v>139</v>
      </c>
      <c r="D52" t="s">
        <v>143</v>
      </c>
      <c r="E52" s="7" t="s">
        <v>82</v>
      </c>
      <c r="F52">
        <f t="shared" si="4"/>
        <v>10501</v>
      </c>
      <c r="G52" s="11" t="str">
        <f t="shared" si="5"/>
        <v>1,1,4000</v>
      </c>
      <c r="H52">
        <v>3</v>
      </c>
      <c r="I52">
        <v>3</v>
      </c>
      <c r="J52">
        <f t="shared" si="6"/>
        <v>3</v>
      </c>
      <c r="M52">
        <v>0</v>
      </c>
      <c r="N52">
        <v>10503</v>
      </c>
      <c r="O52" t="s">
        <v>141</v>
      </c>
      <c r="P52" s="7"/>
      <c r="Q52" s="7">
        <f t="shared" si="7"/>
        <v>4000</v>
      </c>
    </row>
    <row r="53" ht="16.5" customHeight="1" spans="2:17">
      <c r="B53">
        <v>10504</v>
      </c>
      <c r="C53" s="7" t="s">
        <v>139</v>
      </c>
      <c r="D53" t="s">
        <v>144</v>
      </c>
      <c r="E53" s="7" t="s">
        <v>82</v>
      </c>
      <c r="F53">
        <f t="shared" si="4"/>
        <v>10501</v>
      </c>
      <c r="G53" s="11" t="str">
        <f t="shared" si="5"/>
        <v>1,1,8000</v>
      </c>
      <c r="H53">
        <v>3</v>
      </c>
      <c r="I53">
        <v>4</v>
      </c>
      <c r="J53">
        <f t="shared" si="6"/>
        <v>4</v>
      </c>
      <c r="M53">
        <v>0</v>
      </c>
      <c r="N53">
        <v>10504</v>
      </c>
      <c r="O53" t="s">
        <v>141</v>
      </c>
      <c r="P53" s="7"/>
      <c r="Q53" s="7">
        <f t="shared" si="7"/>
        <v>8000</v>
      </c>
    </row>
    <row r="54" s="10" customFormat="1" ht="16.5" customHeight="1" spans="2:17">
      <c r="B54" s="10">
        <v>10505</v>
      </c>
      <c r="C54" s="17" t="s">
        <v>139</v>
      </c>
      <c r="D54" s="10" t="s">
        <v>145</v>
      </c>
      <c r="E54" s="17" t="s">
        <v>82</v>
      </c>
      <c r="F54" s="10">
        <f t="shared" si="4"/>
        <v>10501</v>
      </c>
      <c r="G54" s="18" t="str">
        <f t="shared" si="5"/>
        <v>1,1,16000</v>
      </c>
      <c r="H54" s="10">
        <v>3</v>
      </c>
      <c r="I54" s="10">
        <v>5</v>
      </c>
      <c r="J54" s="10">
        <f t="shared" si="6"/>
        <v>5</v>
      </c>
      <c r="M54" s="10">
        <v>0</v>
      </c>
      <c r="N54" s="10">
        <v>10505</v>
      </c>
      <c r="O54" s="10" t="s">
        <v>146</v>
      </c>
      <c r="P54" s="17"/>
      <c r="Q54" s="17">
        <f t="shared" si="7"/>
        <v>16000</v>
      </c>
    </row>
    <row r="55" s="10" customFormat="1" ht="16.5" customHeight="1" spans="2:17">
      <c r="B55" s="10">
        <v>10506</v>
      </c>
      <c r="C55" s="17" t="s">
        <v>139</v>
      </c>
      <c r="D55" s="10" t="s">
        <v>147</v>
      </c>
      <c r="E55" s="17" t="s">
        <v>82</v>
      </c>
      <c r="F55" s="10">
        <f t="shared" si="4"/>
        <v>10501</v>
      </c>
      <c r="G55" s="18" t="str">
        <f t="shared" si="5"/>
        <v>1,1,32000</v>
      </c>
      <c r="H55" s="10">
        <v>3</v>
      </c>
      <c r="I55" s="10">
        <v>6</v>
      </c>
      <c r="J55" s="10">
        <f t="shared" si="6"/>
        <v>6</v>
      </c>
      <c r="M55" s="10">
        <v>0</v>
      </c>
      <c r="N55" s="10">
        <v>10506</v>
      </c>
      <c r="O55" s="10" t="s">
        <v>146</v>
      </c>
      <c r="P55" s="17"/>
      <c r="Q55" s="17">
        <f t="shared" si="7"/>
        <v>32000</v>
      </c>
    </row>
    <row r="56" s="10" customFormat="1" ht="16.5" customHeight="1" spans="2:17">
      <c r="B56" s="10">
        <v>10507</v>
      </c>
      <c r="C56" s="17" t="s">
        <v>139</v>
      </c>
      <c r="D56" s="10" t="s">
        <v>148</v>
      </c>
      <c r="E56" s="17" t="s">
        <v>82</v>
      </c>
      <c r="F56" s="10">
        <f t="shared" si="4"/>
        <v>10501</v>
      </c>
      <c r="G56" s="18" t="str">
        <f t="shared" si="5"/>
        <v>1,1011,1</v>
      </c>
      <c r="H56" s="10">
        <v>3</v>
      </c>
      <c r="I56" s="10">
        <v>7</v>
      </c>
      <c r="J56" s="10">
        <f t="shared" si="6"/>
        <v>7</v>
      </c>
      <c r="M56" s="10">
        <v>0</v>
      </c>
      <c r="N56" s="10">
        <v>10507</v>
      </c>
      <c r="O56" s="10" t="s">
        <v>149</v>
      </c>
      <c r="P56" s="17"/>
      <c r="Q56" s="17">
        <f t="shared" si="7"/>
        <v>64000</v>
      </c>
    </row>
    <row r="57" s="10" customFormat="1" ht="16.5" customHeight="1" spans="2:17">
      <c r="B57" s="10">
        <v>10508</v>
      </c>
      <c r="C57" s="17" t="s">
        <v>150</v>
      </c>
      <c r="D57" s="10" t="s">
        <v>151</v>
      </c>
      <c r="E57" s="17" t="s">
        <v>82</v>
      </c>
      <c r="F57" s="10">
        <f t="shared" si="4"/>
        <v>10501</v>
      </c>
      <c r="G57" s="18" t="str">
        <f t="shared" si="5"/>
        <v>1,1011,6</v>
      </c>
      <c r="H57" s="10">
        <v>3</v>
      </c>
      <c r="I57" s="10">
        <v>7</v>
      </c>
      <c r="J57" s="10">
        <f t="shared" si="6"/>
        <v>8</v>
      </c>
      <c r="M57" s="10">
        <v>0</v>
      </c>
      <c r="N57" s="10">
        <v>10508</v>
      </c>
      <c r="O57" s="10" t="s">
        <v>149</v>
      </c>
      <c r="P57" s="17"/>
      <c r="Q57" s="17">
        <f t="shared" si="7"/>
        <v>128000</v>
      </c>
    </row>
    <row r="58" ht="16.5" customHeight="1" spans="2:17">
      <c r="B58">
        <v>10601</v>
      </c>
      <c r="C58" t="s">
        <v>152</v>
      </c>
      <c r="D58" t="s">
        <v>153</v>
      </c>
      <c r="E58" s="7" t="s">
        <v>82</v>
      </c>
      <c r="F58">
        <f t="shared" si="4"/>
        <v>10601</v>
      </c>
      <c r="G58" s="11" t="str">
        <f t="shared" si="5"/>
        <v>1,1,1000</v>
      </c>
      <c r="H58">
        <v>3</v>
      </c>
      <c r="I58">
        <v>1</v>
      </c>
      <c r="J58">
        <f t="shared" si="6"/>
        <v>1</v>
      </c>
      <c r="M58">
        <v>0</v>
      </c>
      <c r="N58">
        <v>10601</v>
      </c>
      <c r="O58" t="s">
        <v>154</v>
      </c>
      <c r="P58" s="7"/>
      <c r="Q58" s="7">
        <f t="shared" si="7"/>
        <v>1000</v>
      </c>
    </row>
    <row r="59" ht="16.5" customHeight="1" spans="2:17">
      <c r="B59">
        <v>10602</v>
      </c>
      <c r="C59" t="s">
        <v>152</v>
      </c>
      <c r="D59" t="s">
        <v>155</v>
      </c>
      <c r="E59" s="7" t="s">
        <v>82</v>
      </c>
      <c r="F59">
        <f t="shared" si="4"/>
        <v>10601</v>
      </c>
      <c r="G59" s="11" t="str">
        <f t="shared" si="5"/>
        <v>1,1,2000</v>
      </c>
      <c r="H59">
        <v>3</v>
      </c>
      <c r="I59">
        <v>2</v>
      </c>
      <c r="J59">
        <f t="shared" si="6"/>
        <v>2</v>
      </c>
      <c r="M59">
        <v>0</v>
      </c>
      <c r="N59">
        <v>10602</v>
      </c>
      <c r="O59" t="s">
        <v>154</v>
      </c>
      <c r="P59" s="7"/>
      <c r="Q59" s="7">
        <f t="shared" si="7"/>
        <v>2000</v>
      </c>
    </row>
    <row r="60" ht="16.5" customHeight="1" spans="2:17">
      <c r="B60">
        <v>10603</v>
      </c>
      <c r="C60" t="s">
        <v>152</v>
      </c>
      <c r="D60" t="s">
        <v>156</v>
      </c>
      <c r="E60" s="7" t="s">
        <v>82</v>
      </c>
      <c r="F60">
        <f t="shared" si="4"/>
        <v>10601</v>
      </c>
      <c r="G60" s="11" t="str">
        <f t="shared" si="5"/>
        <v>1,1,4000</v>
      </c>
      <c r="H60">
        <v>3</v>
      </c>
      <c r="I60">
        <v>3</v>
      </c>
      <c r="J60">
        <f t="shared" si="6"/>
        <v>3</v>
      </c>
      <c r="M60">
        <v>0</v>
      </c>
      <c r="N60">
        <v>10603</v>
      </c>
      <c r="O60" t="s">
        <v>154</v>
      </c>
      <c r="P60" s="7"/>
      <c r="Q60" s="7">
        <f t="shared" si="7"/>
        <v>4000</v>
      </c>
    </row>
    <row r="61" ht="16.5" customHeight="1" spans="2:17">
      <c r="B61">
        <v>10604</v>
      </c>
      <c r="C61" t="s">
        <v>152</v>
      </c>
      <c r="D61" t="s">
        <v>157</v>
      </c>
      <c r="E61" s="7" t="s">
        <v>82</v>
      </c>
      <c r="F61">
        <f t="shared" si="4"/>
        <v>10601</v>
      </c>
      <c r="G61" s="11" t="str">
        <f t="shared" si="5"/>
        <v>1,1,8000</v>
      </c>
      <c r="H61">
        <v>3</v>
      </c>
      <c r="I61">
        <v>4</v>
      </c>
      <c r="J61">
        <f t="shared" si="6"/>
        <v>4</v>
      </c>
      <c r="M61">
        <v>0</v>
      </c>
      <c r="N61">
        <v>10604</v>
      </c>
      <c r="O61" t="s">
        <v>154</v>
      </c>
      <c r="P61" s="7"/>
      <c r="Q61" s="7">
        <f t="shared" si="7"/>
        <v>8000</v>
      </c>
    </row>
    <row r="62" s="10" customFormat="1" ht="16.5" customHeight="1" spans="2:17">
      <c r="B62" s="10">
        <v>10605</v>
      </c>
      <c r="C62" s="10" t="s">
        <v>152</v>
      </c>
      <c r="D62" s="10" t="s">
        <v>158</v>
      </c>
      <c r="E62" s="17" t="s">
        <v>82</v>
      </c>
      <c r="F62" s="10">
        <f t="shared" si="4"/>
        <v>10601</v>
      </c>
      <c r="G62" s="18" t="str">
        <f t="shared" si="5"/>
        <v>1,1,16000</v>
      </c>
      <c r="H62" s="10">
        <v>3</v>
      </c>
      <c r="I62" s="10">
        <v>5</v>
      </c>
      <c r="J62" s="10">
        <f t="shared" si="6"/>
        <v>5</v>
      </c>
      <c r="M62" s="10">
        <v>0</v>
      </c>
      <c r="N62" s="10">
        <v>10605</v>
      </c>
      <c r="O62" s="10" t="s">
        <v>159</v>
      </c>
      <c r="P62" s="17"/>
      <c r="Q62" s="17">
        <f t="shared" si="7"/>
        <v>16000</v>
      </c>
    </row>
    <row r="63" s="10" customFormat="1" ht="16.5" customHeight="1" spans="2:17">
      <c r="B63" s="10">
        <v>10606</v>
      </c>
      <c r="C63" s="10" t="s">
        <v>152</v>
      </c>
      <c r="D63" s="10" t="s">
        <v>160</v>
      </c>
      <c r="E63" s="17" t="s">
        <v>82</v>
      </c>
      <c r="F63" s="10">
        <f t="shared" si="4"/>
        <v>10601</v>
      </c>
      <c r="G63" s="18" t="str">
        <f t="shared" si="5"/>
        <v>1,1,32000</v>
      </c>
      <c r="H63" s="10">
        <v>3</v>
      </c>
      <c r="I63" s="10">
        <v>6</v>
      </c>
      <c r="J63" s="10">
        <f t="shared" si="6"/>
        <v>6</v>
      </c>
      <c r="M63" s="10">
        <v>0</v>
      </c>
      <c r="N63" s="10">
        <v>10606</v>
      </c>
      <c r="O63" s="10" t="s">
        <v>159</v>
      </c>
      <c r="P63" s="17"/>
      <c r="Q63" s="17">
        <f t="shared" si="7"/>
        <v>32000</v>
      </c>
    </row>
    <row r="64" s="10" customFormat="1" ht="16.5" customHeight="1" spans="2:17">
      <c r="B64" s="10">
        <v>10607</v>
      </c>
      <c r="C64" s="10" t="s">
        <v>152</v>
      </c>
      <c r="D64" s="10" t="s">
        <v>161</v>
      </c>
      <c r="E64" s="17" t="s">
        <v>82</v>
      </c>
      <c r="F64" s="10">
        <f t="shared" si="4"/>
        <v>10601</v>
      </c>
      <c r="G64" s="18" t="str">
        <f t="shared" si="5"/>
        <v>1,1011,1</v>
      </c>
      <c r="H64" s="10">
        <v>3</v>
      </c>
      <c r="I64" s="10">
        <v>7</v>
      </c>
      <c r="J64" s="10">
        <f t="shared" si="6"/>
        <v>7</v>
      </c>
      <c r="M64" s="10">
        <v>0</v>
      </c>
      <c r="N64" s="10">
        <v>10607</v>
      </c>
      <c r="O64" s="10" t="s">
        <v>162</v>
      </c>
      <c r="P64" s="17"/>
      <c r="Q64" s="17">
        <f t="shared" si="7"/>
        <v>64000</v>
      </c>
    </row>
    <row r="65" s="10" customFormat="1" ht="16.5" customHeight="1" spans="2:17">
      <c r="B65" s="10">
        <v>10608</v>
      </c>
      <c r="C65" s="10" t="s">
        <v>163</v>
      </c>
      <c r="D65" s="10" t="s">
        <v>164</v>
      </c>
      <c r="E65" s="17" t="s">
        <v>82</v>
      </c>
      <c r="F65" s="10">
        <f t="shared" si="4"/>
        <v>10601</v>
      </c>
      <c r="G65" s="18" t="str">
        <f t="shared" si="5"/>
        <v>1,1011,6</v>
      </c>
      <c r="H65" s="10">
        <v>3</v>
      </c>
      <c r="I65" s="10">
        <v>7</v>
      </c>
      <c r="J65" s="10">
        <f t="shared" si="6"/>
        <v>8</v>
      </c>
      <c r="M65" s="10">
        <v>0</v>
      </c>
      <c r="N65" s="10">
        <v>10608</v>
      </c>
      <c r="O65" s="10" t="s">
        <v>162</v>
      </c>
      <c r="P65" s="17"/>
      <c r="Q65" s="17">
        <f t="shared" si="7"/>
        <v>128000</v>
      </c>
    </row>
    <row r="66" ht="16.5" customHeight="1" spans="2:17">
      <c r="B66">
        <v>10701</v>
      </c>
      <c r="C66" t="s">
        <v>165</v>
      </c>
      <c r="D66" t="s">
        <v>166</v>
      </c>
      <c r="E66" s="7" t="s">
        <v>82</v>
      </c>
      <c r="F66">
        <f t="shared" si="4"/>
        <v>10701</v>
      </c>
      <c r="G66" s="11" t="str">
        <f t="shared" si="5"/>
        <v>1,1,1000</v>
      </c>
      <c r="H66">
        <v>3</v>
      </c>
      <c r="I66">
        <v>1</v>
      </c>
      <c r="J66">
        <f t="shared" si="6"/>
        <v>1</v>
      </c>
      <c r="M66">
        <v>0</v>
      </c>
      <c r="N66">
        <v>10701</v>
      </c>
      <c r="O66" t="s">
        <v>167</v>
      </c>
      <c r="P66" s="7"/>
      <c r="Q66" s="7">
        <f t="shared" si="7"/>
        <v>1000</v>
      </c>
    </row>
    <row r="67" ht="16.5" customHeight="1" spans="2:17">
      <c r="B67">
        <v>10702</v>
      </c>
      <c r="C67" t="s">
        <v>165</v>
      </c>
      <c r="D67" t="s">
        <v>168</v>
      </c>
      <c r="E67" s="7" t="s">
        <v>82</v>
      </c>
      <c r="F67">
        <f t="shared" si="4"/>
        <v>10701</v>
      </c>
      <c r="G67" s="11" t="str">
        <f t="shared" si="5"/>
        <v>1,1,2000</v>
      </c>
      <c r="H67">
        <v>3</v>
      </c>
      <c r="I67">
        <v>2</v>
      </c>
      <c r="J67">
        <f t="shared" si="6"/>
        <v>2</v>
      </c>
      <c r="M67">
        <v>0</v>
      </c>
      <c r="N67">
        <v>10702</v>
      </c>
      <c r="O67" t="s">
        <v>169</v>
      </c>
      <c r="P67" s="7"/>
      <c r="Q67" s="7">
        <f t="shared" si="7"/>
        <v>2000</v>
      </c>
    </row>
    <row r="68" ht="16.5" customHeight="1" spans="2:17">
      <c r="B68">
        <v>10703</v>
      </c>
      <c r="C68" t="s">
        <v>165</v>
      </c>
      <c r="D68" t="s">
        <v>170</v>
      </c>
      <c r="E68" s="7" t="s">
        <v>82</v>
      </c>
      <c r="F68">
        <f t="shared" si="4"/>
        <v>10701</v>
      </c>
      <c r="G68" s="11" t="str">
        <f t="shared" si="5"/>
        <v>1,1,4000</v>
      </c>
      <c r="H68">
        <v>3</v>
      </c>
      <c r="I68">
        <v>3</v>
      </c>
      <c r="J68">
        <f t="shared" si="6"/>
        <v>3</v>
      </c>
      <c r="M68">
        <v>0</v>
      </c>
      <c r="N68">
        <v>10703</v>
      </c>
      <c r="O68" t="s">
        <v>169</v>
      </c>
      <c r="P68" s="7"/>
      <c r="Q68" s="7">
        <f t="shared" si="7"/>
        <v>4000</v>
      </c>
    </row>
    <row r="69" ht="16.5" customHeight="1" spans="2:17">
      <c r="B69">
        <v>10704</v>
      </c>
      <c r="C69" t="s">
        <v>165</v>
      </c>
      <c r="D69" t="s">
        <v>171</v>
      </c>
      <c r="E69" s="7" t="s">
        <v>82</v>
      </c>
      <c r="F69">
        <f t="shared" si="4"/>
        <v>10701</v>
      </c>
      <c r="G69" s="11" t="str">
        <f t="shared" si="5"/>
        <v>1,1,8000</v>
      </c>
      <c r="H69">
        <v>3</v>
      </c>
      <c r="I69">
        <v>4</v>
      </c>
      <c r="J69">
        <f t="shared" si="6"/>
        <v>4</v>
      </c>
      <c r="M69">
        <v>0</v>
      </c>
      <c r="N69">
        <v>10704</v>
      </c>
      <c r="O69" t="s">
        <v>169</v>
      </c>
      <c r="P69" s="7"/>
      <c r="Q69" s="7">
        <f t="shared" si="7"/>
        <v>8000</v>
      </c>
    </row>
    <row r="70" s="10" customFormat="1" ht="16.5" customHeight="1" spans="2:17">
      <c r="B70" s="10">
        <v>10705</v>
      </c>
      <c r="C70" s="10" t="s">
        <v>165</v>
      </c>
      <c r="D70" s="10" t="s">
        <v>172</v>
      </c>
      <c r="E70" s="17" t="s">
        <v>82</v>
      </c>
      <c r="F70" s="10">
        <f t="shared" si="4"/>
        <v>10701</v>
      </c>
      <c r="G70" s="18" t="str">
        <f t="shared" si="5"/>
        <v>1,1,16000</v>
      </c>
      <c r="H70" s="10">
        <v>3</v>
      </c>
      <c r="I70" s="10">
        <v>5</v>
      </c>
      <c r="J70" s="10">
        <f t="shared" si="6"/>
        <v>5</v>
      </c>
      <c r="M70" s="10">
        <v>0</v>
      </c>
      <c r="N70" s="10">
        <v>10705</v>
      </c>
      <c r="O70" s="10" t="s">
        <v>173</v>
      </c>
      <c r="P70" s="17"/>
      <c r="Q70" s="17">
        <f t="shared" si="7"/>
        <v>16000</v>
      </c>
    </row>
    <row r="71" s="10" customFormat="1" ht="16.5" customHeight="1" spans="2:17">
      <c r="B71" s="10">
        <v>10706</v>
      </c>
      <c r="C71" s="10" t="s">
        <v>165</v>
      </c>
      <c r="D71" s="10" t="s">
        <v>174</v>
      </c>
      <c r="E71" s="17" t="s">
        <v>82</v>
      </c>
      <c r="F71" s="10">
        <f t="shared" si="4"/>
        <v>10701</v>
      </c>
      <c r="G71" s="18" t="str">
        <f t="shared" si="5"/>
        <v>1,1,32000</v>
      </c>
      <c r="H71" s="10">
        <v>3</v>
      </c>
      <c r="I71" s="10">
        <v>6</v>
      </c>
      <c r="J71" s="10">
        <f t="shared" si="6"/>
        <v>6</v>
      </c>
      <c r="M71" s="10">
        <v>0</v>
      </c>
      <c r="N71" s="10">
        <v>10706</v>
      </c>
      <c r="O71" s="10" t="s">
        <v>173</v>
      </c>
      <c r="P71" s="17"/>
      <c r="Q71" s="17">
        <f t="shared" si="7"/>
        <v>32000</v>
      </c>
    </row>
    <row r="72" s="10" customFormat="1" ht="16.5" customHeight="1" spans="2:17">
      <c r="B72" s="10">
        <v>10707</v>
      </c>
      <c r="C72" s="10" t="s">
        <v>165</v>
      </c>
      <c r="D72" s="10" t="s">
        <v>175</v>
      </c>
      <c r="E72" s="17" t="s">
        <v>82</v>
      </c>
      <c r="F72" s="10">
        <f t="shared" si="4"/>
        <v>10701</v>
      </c>
      <c r="G72" s="18" t="str">
        <f t="shared" si="5"/>
        <v>1,1011,1</v>
      </c>
      <c r="H72" s="10">
        <v>3</v>
      </c>
      <c r="I72" s="10">
        <v>7</v>
      </c>
      <c r="J72" s="10">
        <f t="shared" si="6"/>
        <v>7</v>
      </c>
      <c r="M72" s="10">
        <v>0</v>
      </c>
      <c r="N72" s="10">
        <v>10707</v>
      </c>
      <c r="O72" s="10" t="s">
        <v>176</v>
      </c>
      <c r="P72" s="17"/>
      <c r="Q72" s="17">
        <f t="shared" si="7"/>
        <v>64000</v>
      </c>
    </row>
    <row r="73" s="10" customFormat="1" ht="16.5" customHeight="1" spans="2:17">
      <c r="B73" s="10">
        <v>10708</v>
      </c>
      <c r="C73" s="10" t="s">
        <v>177</v>
      </c>
      <c r="D73" s="10" t="s">
        <v>178</v>
      </c>
      <c r="E73" s="17" t="s">
        <v>82</v>
      </c>
      <c r="F73" s="10">
        <f t="shared" si="4"/>
        <v>10701</v>
      </c>
      <c r="G73" s="18" t="str">
        <f t="shared" si="5"/>
        <v>1,1011,6</v>
      </c>
      <c r="H73" s="10">
        <v>3</v>
      </c>
      <c r="I73" s="10">
        <v>7</v>
      </c>
      <c r="J73" s="10">
        <f t="shared" si="6"/>
        <v>8</v>
      </c>
      <c r="M73" s="10">
        <v>0</v>
      </c>
      <c r="N73" s="10">
        <v>10708</v>
      </c>
      <c r="O73" s="10" t="s">
        <v>176</v>
      </c>
      <c r="P73" s="17"/>
      <c r="Q73" s="17">
        <f t="shared" si="7"/>
        <v>128000</v>
      </c>
    </row>
    <row r="74" ht="16.5" customHeight="1" spans="2:17">
      <c r="B74">
        <v>10801</v>
      </c>
      <c r="C74" s="7" t="s">
        <v>179</v>
      </c>
      <c r="D74" t="s">
        <v>180</v>
      </c>
      <c r="E74" s="7" t="s">
        <v>181</v>
      </c>
      <c r="F74">
        <f t="shared" si="4"/>
        <v>10801</v>
      </c>
      <c r="G74" s="11" t="str">
        <f t="shared" si="5"/>
        <v>1,1,1000</v>
      </c>
      <c r="H74">
        <v>3</v>
      </c>
      <c r="I74">
        <v>1</v>
      </c>
      <c r="J74">
        <f t="shared" si="6"/>
        <v>1</v>
      </c>
      <c r="M74">
        <v>0</v>
      </c>
      <c r="N74">
        <v>10801</v>
      </c>
      <c r="P74" s="7"/>
      <c r="Q74" s="7">
        <f t="shared" si="7"/>
        <v>1000</v>
      </c>
    </row>
    <row r="75" ht="16.5" customHeight="1" spans="2:17">
      <c r="B75">
        <v>10802</v>
      </c>
      <c r="C75" s="7" t="s">
        <v>179</v>
      </c>
      <c r="D75" t="s">
        <v>182</v>
      </c>
      <c r="E75" s="7" t="s">
        <v>181</v>
      </c>
      <c r="F75">
        <f t="shared" si="4"/>
        <v>10801</v>
      </c>
      <c r="G75" s="11" t="str">
        <f t="shared" si="5"/>
        <v>1,1,2000</v>
      </c>
      <c r="H75">
        <v>3</v>
      </c>
      <c r="I75">
        <v>2</v>
      </c>
      <c r="J75">
        <f t="shared" si="6"/>
        <v>2</v>
      </c>
      <c r="M75">
        <v>0</v>
      </c>
      <c r="N75">
        <v>10802</v>
      </c>
      <c r="P75" s="7"/>
      <c r="Q75" s="7">
        <f t="shared" si="7"/>
        <v>2000</v>
      </c>
    </row>
    <row r="76" ht="16.5" customHeight="1" spans="2:17">
      <c r="B76">
        <v>10803</v>
      </c>
      <c r="C76" s="7" t="s">
        <v>179</v>
      </c>
      <c r="D76" t="s">
        <v>183</v>
      </c>
      <c r="E76" s="7" t="s">
        <v>181</v>
      </c>
      <c r="F76">
        <f t="shared" si="4"/>
        <v>10801</v>
      </c>
      <c r="G76" s="11" t="str">
        <f t="shared" si="5"/>
        <v>1,1,4000</v>
      </c>
      <c r="H76">
        <v>3</v>
      </c>
      <c r="I76">
        <v>3</v>
      </c>
      <c r="J76">
        <f t="shared" si="6"/>
        <v>3</v>
      </c>
      <c r="M76">
        <v>0</v>
      </c>
      <c r="N76">
        <v>10803</v>
      </c>
      <c r="P76" s="7"/>
      <c r="Q76" s="7">
        <f t="shared" si="7"/>
        <v>4000</v>
      </c>
    </row>
    <row r="77" ht="16.5" customHeight="1" spans="2:17">
      <c r="B77">
        <v>10804</v>
      </c>
      <c r="C77" s="7" t="s">
        <v>179</v>
      </c>
      <c r="D77" t="s">
        <v>184</v>
      </c>
      <c r="E77" s="7" t="s">
        <v>181</v>
      </c>
      <c r="F77">
        <f t="shared" si="4"/>
        <v>10801</v>
      </c>
      <c r="G77" s="11" t="str">
        <f t="shared" si="5"/>
        <v>1,1,8000</v>
      </c>
      <c r="H77">
        <v>3</v>
      </c>
      <c r="I77">
        <v>4</v>
      </c>
      <c r="J77">
        <f t="shared" si="6"/>
        <v>4</v>
      </c>
      <c r="M77">
        <v>0</v>
      </c>
      <c r="N77">
        <v>10804</v>
      </c>
      <c r="P77" s="7"/>
      <c r="Q77" s="7">
        <f t="shared" si="7"/>
        <v>8000</v>
      </c>
    </row>
    <row r="78" ht="16.5" customHeight="1" spans="2:17">
      <c r="B78">
        <v>10805</v>
      </c>
      <c r="C78" s="7" t="s">
        <v>179</v>
      </c>
      <c r="D78" t="s">
        <v>185</v>
      </c>
      <c r="E78" s="7" t="s">
        <v>181</v>
      </c>
      <c r="F78">
        <f t="shared" si="4"/>
        <v>10801</v>
      </c>
      <c r="G78" s="11" t="str">
        <f t="shared" si="5"/>
        <v>1,1,16000</v>
      </c>
      <c r="H78">
        <v>3</v>
      </c>
      <c r="I78">
        <v>5</v>
      </c>
      <c r="J78">
        <f t="shared" si="6"/>
        <v>5</v>
      </c>
      <c r="M78">
        <v>0</v>
      </c>
      <c r="N78">
        <v>10805</v>
      </c>
      <c r="P78" s="7"/>
      <c r="Q78" s="7">
        <f t="shared" si="7"/>
        <v>16000</v>
      </c>
    </row>
    <row r="79" ht="16.5" customHeight="1" spans="2:17">
      <c r="B79">
        <v>10806</v>
      </c>
      <c r="C79" s="7" t="s">
        <v>179</v>
      </c>
      <c r="D79" t="s">
        <v>186</v>
      </c>
      <c r="E79" s="7" t="s">
        <v>181</v>
      </c>
      <c r="F79">
        <f t="shared" si="4"/>
        <v>10801</v>
      </c>
      <c r="G79" s="11" t="str">
        <f t="shared" si="5"/>
        <v>1,1,32000</v>
      </c>
      <c r="H79">
        <v>3</v>
      </c>
      <c r="I79">
        <v>6</v>
      </c>
      <c r="J79">
        <f t="shared" si="6"/>
        <v>6</v>
      </c>
      <c r="M79">
        <v>0</v>
      </c>
      <c r="N79">
        <v>10806</v>
      </c>
      <c r="P79" s="7"/>
      <c r="Q79" s="7">
        <f t="shared" si="7"/>
        <v>32000</v>
      </c>
    </row>
    <row r="80" ht="16.5" customHeight="1" spans="2:17">
      <c r="B80">
        <v>10807</v>
      </c>
      <c r="C80" s="7" t="s">
        <v>179</v>
      </c>
      <c r="D80" t="s">
        <v>187</v>
      </c>
      <c r="E80" s="7" t="s">
        <v>181</v>
      </c>
      <c r="F80">
        <f t="shared" si="4"/>
        <v>10801</v>
      </c>
      <c r="G80" s="11" t="str">
        <f t="shared" si="5"/>
        <v>1,1011,1</v>
      </c>
      <c r="H80">
        <v>3</v>
      </c>
      <c r="I80">
        <v>7</v>
      </c>
      <c r="J80">
        <f t="shared" si="6"/>
        <v>7</v>
      </c>
      <c r="M80">
        <v>0</v>
      </c>
      <c r="N80">
        <v>10807</v>
      </c>
      <c r="P80" s="7"/>
      <c r="Q80" s="7">
        <f t="shared" si="7"/>
        <v>64000</v>
      </c>
    </row>
    <row r="81" ht="16.5" customHeight="1" spans="2:17">
      <c r="B81">
        <v>10808</v>
      </c>
      <c r="C81" s="7" t="s">
        <v>188</v>
      </c>
      <c r="D81" t="s">
        <v>189</v>
      </c>
      <c r="E81" s="7" t="s">
        <v>181</v>
      </c>
      <c r="F81">
        <f t="shared" si="4"/>
        <v>10801</v>
      </c>
      <c r="G81" s="11" t="str">
        <f t="shared" si="5"/>
        <v>1,1011,6</v>
      </c>
      <c r="H81">
        <v>3</v>
      </c>
      <c r="I81">
        <v>7</v>
      </c>
      <c r="J81">
        <f t="shared" si="6"/>
        <v>8</v>
      </c>
      <c r="M81">
        <v>0</v>
      </c>
      <c r="N81">
        <v>10808</v>
      </c>
      <c r="P81" s="7"/>
      <c r="Q81" s="7">
        <f t="shared" si="7"/>
        <v>128000</v>
      </c>
    </row>
    <row r="82" ht="16.5" customHeight="1" spans="2:17">
      <c r="B82">
        <v>10901</v>
      </c>
      <c r="C82" s="7" t="s">
        <v>190</v>
      </c>
      <c r="D82" t="s">
        <v>191</v>
      </c>
      <c r="E82" s="7" t="s">
        <v>181</v>
      </c>
      <c r="F82">
        <f t="shared" ref="F82:F113" si="8">F74+100</f>
        <v>10901</v>
      </c>
      <c r="G82" s="11" t="str">
        <f t="shared" ref="G82:G113" si="9">G74</f>
        <v>1,1,1000</v>
      </c>
      <c r="H82">
        <v>3</v>
      </c>
      <c r="I82">
        <v>1</v>
      </c>
      <c r="J82">
        <f t="shared" ref="J82:J113" si="10">J74</f>
        <v>1</v>
      </c>
      <c r="M82">
        <v>0</v>
      </c>
      <c r="N82">
        <v>10901</v>
      </c>
      <c r="P82" s="7"/>
      <c r="Q82" s="7">
        <f t="shared" ref="Q82:Q113" si="11">Q74</f>
        <v>1000</v>
      </c>
    </row>
    <row r="83" ht="16.5" customHeight="1" spans="2:17">
      <c r="B83">
        <v>10902</v>
      </c>
      <c r="C83" s="7" t="s">
        <v>190</v>
      </c>
      <c r="D83" t="s">
        <v>192</v>
      </c>
      <c r="E83" s="7" t="s">
        <v>181</v>
      </c>
      <c r="F83">
        <f t="shared" si="8"/>
        <v>10901</v>
      </c>
      <c r="G83" s="11" t="str">
        <f t="shared" si="9"/>
        <v>1,1,2000</v>
      </c>
      <c r="H83">
        <v>3</v>
      </c>
      <c r="I83">
        <v>2</v>
      </c>
      <c r="J83">
        <f t="shared" si="10"/>
        <v>2</v>
      </c>
      <c r="M83">
        <v>0</v>
      </c>
      <c r="N83">
        <v>10902</v>
      </c>
      <c r="P83" s="7"/>
      <c r="Q83" s="7">
        <f t="shared" si="11"/>
        <v>2000</v>
      </c>
    </row>
    <row r="84" ht="16.5" customHeight="1" spans="2:17">
      <c r="B84">
        <v>10903</v>
      </c>
      <c r="C84" s="7" t="s">
        <v>190</v>
      </c>
      <c r="D84" t="s">
        <v>193</v>
      </c>
      <c r="E84" s="7" t="s">
        <v>181</v>
      </c>
      <c r="F84">
        <f t="shared" si="8"/>
        <v>10901</v>
      </c>
      <c r="G84" s="11" t="str">
        <f t="shared" si="9"/>
        <v>1,1,4000</v>
      </c>
      <c r="H84">
        <v>3</v>
      </c>
      <c r="I84">
        <v>3</v>
      </c>
      <c r="J84">
        <f t="shared" si="10"/>
        <v>3</v>
      </c>
      <c r="M84">
        <v>0</v>
      </c>
      <c r="N84">
        <v>10903</v>
      </c>
      <c r="P84" s="7"/>
      <c r="Q84" s="7">
        <f t="shared" si="11"/>
        <v>4000</v>
      </c>
    </row>
    <row r="85" ht="16.5" customHeight="1" spans="2:17">
      <c r="B85">
        <v>10904</v>
      </c>
      <c r="C85" s="7" t="s">
        <v>190</v>
      </c>
      <c r="D85" t="s">
        <v>194</v>
      </c>
      <c r="E85" s="7" t="s">
        <v>181</v>
      </c>
      <c r="F85">
        <f t="shared" si="8"/>
        <v>10901</v>
      </c>
      <c r="G85" s="11" t="str">
        <f t="shared" si="9"/>
        <v>1,1,8000</v>
      </c>
      <c r="H85">
        <v>3</v>
      </c>
      <c r="I85">
        <v>4</v>
      </c>
      <c r="J85">
        <f t="shared" si="10"/>
        <v>4</v>
      </c>
      <c r="M85">
        <v>0</v>
      </c>
      <c r="N85">
        <v>10904</v>
      </c>
      <c r="P85" s="7"/>
      <c r="Q85" s="7">
        <f t="shared" si="11"/>
        <v>8000</v>
      </c>
    </row>
    <row r="86" ht="16.5" customHeight="1" spans="2:17">
      <c r="B86">
        <v>10905</v>
      </c>
      <c r="C86" s="7" t="s">
        <v>190</v>
      </c>
      <c r="D86" t="s">
        <v>195</v>
      </c>
      <c r="E86" s="7" t="s">
        <v>181</v>
      </c>
      <c r="F86">
        <f t="shared" si="8"/>
        <v>10901</v>
      </c>
      <c r="G86" s="11" t="str">
        <f t="shared" si="9"/>
        <v>1,1,16000</v>
      </c>
      <c r="H86">
        <v>3</v>
      </c>
      <c r="I86">
        <v>5</v>
      </c>
      <c r="J86">
        <f t="shared" si="10"/>
        <v>5</v>
      </c>
      <c r="M86">
        <v>0</v>
      </c>
      <c r="N86">
        <v>10905</v>
      </c>
      <c r="P86" s="7"/>
      <c r="Q86" s="7">
        <f t="shared" si="11"/>
        <v>16000</v>
      </c>
    </row>
    <row r="87" ht="16.5" customHeight="1" spans="2:17">
      <c r="B87">
        <v>10906</v>
      </c>
      <c r="C87" s="7" t="s">
        <v>190</v>
      </c>
      <c r="D87" t="s">
        <v>196</v>
      </c>
      <c r="E87" s="7" t="s">
        <v>181</v>
      </c>
      <c r="F87">
        <f t="shared" si="8"/>
        <v>10901</v>
      </c>
      <c r="G87" s="11" t="str">
        <f t="shared" si="9"/>
        <v>1,1,32000</v>
      </c>
      <c r="H87">
        <v>3</v>
      </c>
      <c r="I87">
        <v>6</v>
      </c>
      <c r="J87">
        <f t="shared" si="10"/>
        <v>6</v>
      </c>
      <c r="M87">
        <v>0</v>
      </c>
      <c r="N87">
        <v>10906</v>
      </c>
      <c r="P87" s="7"/>
      <c r="Q87" s="7">
        <f t="shared" si="11"/>
        <v>32000</v>
      </c>
    </row>
    <row r="88" ht="16.5" customHeight="1" spans="2:17">
      <c r="B88">
        <v>10907</v>
      </c>
      <c r="C88" s="7" t="s">
        <v>190</v>
      </c>
      <c r="D88" t="s">
        <v>197</v>
      </c>
      <c r="E88" s="7" t="s">
        <v>181</v>
      </c>
      <c r="F88">
        <f t="shared" si="8"/>
        <v>10901</v>
      </c>
      <c r="G88" s="11" t="str">
        <f t="shared" si="9"/>
        <v>1,1011,1</v>
      </c>
      <c r="H88">
        <v>3</v>
      </c>
      <c r="I88">
        <v>7</v>
      </c>
      <c r="J88">
        <f t="shared" si="10"/>
        <v>7</v>
      </c>
      <c r="M88">
        <v>0</v>
      </c>
      <c r="N88">
        <v>10907</v>
      </c>
      <c r="P88" s="7"/>
      <c r="Q88" s="7">
        <f t="shared" si="11"/>
        <v>64000</v>
      </c>
    </row>
    <row r="89" ht="16.5" customHeight="1" spans="2:17">
      <c r="B89">
        <v>10908</v>
      </c>
      <c r="C89" s="7" t="s">
        <v>198</v>
      </c>
      <c r="D89" t="s">
        <v>199</v>
      </c>
      <c r="E89" s="7" t="s">
        <v>181</v>
      </c>
      <c r="F89">
        <f t="shared" si="8"/>
        <v>10901</v>
      </c>
      <c r="G89" s="11" t="str">
        <f t="shared" si="9"/>
        <v>1,1011,6</v>
      </c>
      <c r="H89">
        <v>3</v>
      </c>
      <c r="I89">
        <v>7</v>
      </c>
      <c r="J89">
        <f t="shared" si="10"/>
        <v>8</v>
      </c>
      <c r="M89">
        <v>0</v>
      </c>
      <c r="N89">
        <v>10908</v>
      </c>
      <c r="P89" s="7"/>
      <c r="Q89" s="7">
        <f t="shared" si="11"/>
        <v>128000</v>
      </c>
    </row>
    <row r="90" ht="16.5" customHeight="1" spans="2:17">
      <c r="B90">
        <v>11001</v>
      </c>
      <c r="C90" t="s">
        <v>200</v>
      </c>
      <c r="D90" t="s">
        <v>201</v>
      </c>
      <c r="E90" s="7" t="s">
        <v>181</v>
      </c>
      <c r="F90">
        <f t="shared" si="8"/>
        <v>11001</v>
      </c>
      <c r="G90" s="11" t="str">
        <f t="shared" si="9"/>
        <v>1,1,1000</v>
      </c>
      <c r="H90">
        <v>3</v>
      </c>
      <c r="I90">
        <v>1</v>
      </c>
      <c r="J90">
        <f t="shared" si="10"/>
        <v>1</v>
      </c>
      <c r="M90">
        <v>0</v>
      </c>
      <c r="N90">
        <v>11001</v>
      </c>
      <c r="P90" s="7"/>
      <c r="Q90" s="7">
        <f t="shared" si="11"/>
        <v>1000</v>
      </c>
    </row>
    <row r="91" ht="16.5" customHeight="1" spans="2:17">
      <c r="B91">
        <v>11002</v>
      </c>
      <c r="C91" t="s">
        <v>200</v>
      </c>
      <c r="D91" t="s">
        <v>202</v>
      </c>
      <c r="E91" s="7" t="s">
        <v>181</v>
      </c>
      <c r="F91">
        <f t="shared" si="8"/>
        <v>11001</v>
      </c>
      <c r="G91" s="11" t="str">
        <f t="shared" si="9"/>
        <v>1,1,2000</v>
      </c>
      <c r="H91">
        <v>3</v>
      </c>
      <c r="I91">
        <v>2</v>
      </c>
      <c r="J91">
        <f t="shared" si="10"/>
        <v>2</v>
      </c>
      <c r="M91">
        <v>0</v>
      </c>
      <c r="N91">
        <v>11002</v>
      </c>
      <c r="P91" s="7"/>
      <c r="Q91" s="7">
        <f t="shared" si="11"/>
        <v>2000</v>
      </c>
    </row>
    <row r="92" ht="16.5" customHeight="1" spans="2:17">
      <c r="B92">
        <v>11003</v>
      </c>
      <c r="C92" t="s">
        <v>200</v>
      </c>
      <c r="D92" t="s">
        <v>203</v>
      </c>
      <c r="E92" s="7" t="s">
        <v>181</v>
      </c>
      <c r="F92">
        <f t="shared" si="8"/>
        <v>11001</v>
      </c>
      <c r="G92" s="11" t="str">
        <f t="shared" si="9"/>
        <v>1,1,4000</v>
      </c>
      <c r="H92">
        <v>3</v>
      </c>
      <c r="I92">
        <v>3</v>
      </c>
      <c r="J92">
        <f t="shared" si="10"/>
        <v>3</v>
      </c>
      <c r="M92">
        <v>0</v>
      </c>
      <c r="N92">
        <v>11003</v>
      </c>
      <c r="P92" s="7"/>
      <c r="Q92" s="7">
        <f t="shared" si="11"/>
        <v>4000</v>
      </c>
    </row>
    <row r="93" ht="16.5" customHeight="1" spans="2:17">
      <c r="B93">
        <v>11004</v>
      </c>
      <c r="C93" t="s">
        <v>200</v>
      </c>
      <c r="D93" t="s">
        <v>204</v>
      </c>
      <c r="E93" s="7" t="s">
        <v>181</v>
      </c>
      <c r="F93">
        <f t="shared" si="8"/>
        <v>11001</v>
      </c>
      <c r="G93" s="11" t="str">
        <f t="shared" si="9"/>
        <v>1,1,8000</v>
      </c>
      <c r="H93">
        <v>3</v>
      </c>
      <c r="I93">
        <v>4</v>
      </c>
      <c r="J93">
        <f t="shared" si="10"/>
        <v>4</v>
      </c>
      <c r="M93">
        <v>0</v>
      </c>
      <c r="N93">
        <v>11004</v>
      </c>
      <c r="P93" s="7"/>
      <c r="Q93" s="7">
        <f t="shared" si="11"/>
        <v>8000</v>
      </c>
    </row>
    <row r="94" ht="16.5" customHeight="1" spans="2:17">
      <c r="B94">
        <v>11005</v>
      </c>
      <c r="C94" t="s">
        <v>200</v>
      </c>
      <c r="D94" t="s">
        <v>205</v>
      </c>
      <c r="E94" s="7" t="s">
        <v>181</v>
      </c>
      <c r="F94">
        <f t="shared" si="8"/>
        <v>11001</v>
      </c>
      <c r="G94" s="11" t="str">
        <f t="shared" si="9"/>
        <v>1,1,16000</v>
      </c>
      <c r="H94">
        <v>3</v>
      </c>
      <c r="I94">
        <v>5</v>
      </c>
      <c r="J94">
        <f t="shared" si="10"/>
        <v>5</v>
      </c>
      <c r="M94">
        <v>0</v>
      </c>
      <c r="N94">
        <v>11005</v>
      </c>
      <c r="P94" s="7"/>
      <c r="Q94" s="7">
        <f t="shared" si="11"/>
        <v>16000</v>
      </c>
    </row>
    <row r="95" ht="16.5" customHeight="1" spans="2:17">
      <c r="B95">
        <v>11006</v>
      </c>
      <c r="C95" t="s">
        <v>200</v>
      </c>
      <c r="D95" t="s">
        <v>206</v>
      </c>
      <c r="E95" s="7" t="s">
        <v>181</v>
      </c>
      <c r="F95">
        <f t="shared" si="8"/>
        <v>11001</v>
      </c>
      <c r="G95" s="11" t="str">
        <f t="shared" si="9"/>
        <v>1,1,32000</v>
      </c>
      <c r="H95">
        <v>3</v>
      </c>
      <c r="I95">
        <v>6</v>
      </c>
      <c r="J95">
        <f t="shared" si="10"/>
        <v>6</v>
      </c>
      <c r="M95">
        <v>0</v>
      </c>
      <c r="N95">
        <v>11006</v>
      </c>
      <c r="P95" s="7"/>
      <c r="Q95" s="7">
        <f t="shared" si="11"/>
        <v>32000</v>
      </c>
    </row>
    <row r="96" ht="16.5" customHeight="1" spans="2:17">
      <c r="B96">
        <v>11007</v>
      </c>
      <c r="C96" t="s">
        <v>200</v>
      </c>
      <c r="D96" t="s">
        <v>207</v>
      </c>
      <c r="E96" s="7" t="s">
        <v>181</v>
      </c>
      <c r="F96">
        <f t="shared" si="8"/>
        <v>11001</v>
      </c>
      <c r="G96" s="11" t="str">
        <f t="shared" si="9"/>
        <v>1,1011,1</v>
      </c>
      <c r="H96">
        <v>3</v>
      </c>
      <c r="I96">
        <v>7</v>
      </c>
      <c r="J96">
        <f t="shared" si="10"/>
        <v>7</v>
      </c>
      <c r="M96">
        <v>0</v>
      </c>
      <c r="N96">
        <v>11007</v>
      </c>
      <c r="P96" s="7"/>
      <c r="Q96" s="7">
        <f t="shared" si="11"/>
        <v>64000</v>
      </c>
    </row>
    <row r="97" ht="16.5" customHeight="1" spans="2:17">
      <c r="B97">
        <v>11008</v>
      </c>
      <c r="C97" t="s">
        <v>208</v>
      </c>
      <c r="D97" t="s">
        <v>209</v>
      </c>
      <c r="E97" s="7" t="s">
        <v>181</v>
      </c>
      <c r="F97">
        <f t="shared" si="8"/>
        <v>11001</v>
      </c>
      <c r="G97" s="11" t="str">
        <f t="shared" si="9"/>
        <v>1,1011,6</v>
      </c>
      <c r="H97">
        <v>3</v>
      </c>
      <c r="I97">
        <v>7</v>
      </c>
      <c r="J97">
        <f t="shared" si="10"/>
        <v>8</v>
      </c>
      <c r="M97">
        <v>0</v>
      </c>
      <c r="N97">
        <v>11008</v>
      </c>
      <c r="P97" s="7"/>
      <c r="Q97" s="7">
        <f t="shared" si="11"/>
        <v>128000</v>
      </c>
    </row>
    <row r="98" ht="16.5" customHeight="1" spans="2:17">
      <c r="B98">
        <v>11101</v>
      </c>
      <c r="C98" t="s">
        <v>210</v>
      </c>
      <c r="D98" t="s">
        <v>211</v>
      </c>
      <c r="E98" s="7" t="s">
        <v>181</v>
      </c>
      <c r="F98">
        <f t="shared" si="8"/>
        <v>11101</v>
      </c>
      <c r="G98" s="11" t="str">
        <f t="shared" si="9"/>
        <v>1,1,1000</v>
      </c>
      <c r="H98">
        <v>3</v>
      </c>
      <c r="I98">
        <v>1</v>
      </c>
      <c r="J98">
        <f t="shared" si="10"/>
        <v>1</v>
      </c>
      <c r="M98">
        <v>0</v>
      </c>
      <c r="N98">
        <v>11101</v>
      </c>
      <c r="P98" s="7"/>
      <c r="Q98" s="7">
        <f t="shared" si="11"/>
        <v>1000</v>
      </c>
    </row>
    <row r="99" ht="16.5" customHeight="1" spans="2:17">
      <c r="B99">
        <v>11102</v>
      </c>
      <c r="C99" t="s">
        <v>210</v>
      </c>
      <c r="D99" t="s">
        <v>212</v>
      </c>
      <c r="E99" s="7" t="s">
        <v>181</v>
      </c>
      <c r="F99">
        <f t="shared" si="8"/>
        <v>11101</v>
      </c>
      <c r="G99" s="11" t="str">
        <f t="shared" si="9"/>
        <v>1,1,2000</v>
      </c>
      <c r="H99">
        <v>3</v>
      </c>
      <c r="I99">
        <v>2</v>
      </c>
      <c r="J99">
        <f t="shared" si="10"/>
        <v>2</v>
      </c>
      <c r="M99">
        <v>0</v>
      </c>
      <c r="N99">
        <v>11102</v>
      </c>
      <c r="P99" s="7"/>
      <c r="Q99" s="7">
        <f t="shared" si="11"/>
        <v>2000</v>
      </c>
    </row>
    <row r="100" ht="16.5" customHeight="1" spans="2:17">
      <c r="B100">
        <v>11103</v>
      </c>
      <c r="C100" t="s">
        <v>210</v>
      </c>
      <c r="D100" t="s">
        <v>213</v>
      </c>
      <c r="E100" s="7" t="s">
        <v>181</v>
      </c>
      <c r="F100">
        <f t="shared" si="8"/>
        <v>11101</v>
      </c>
      <c r="G100" s="11" t="str">
        <f t="shared" si="9"/>
        <v>1,1,4000</v>
      </c>
      <c r="H100">
        <v>3</v>
      </c>
      <c r="I100">
        <v>3</v>
      </c>
      <c r="J100">
        <f t="shared" si="10"/>
        <v>3</v>
      </c>
      <c r="M100">
        <v>0</v>
      </c>
      <c r="N100">
        <v>11103</v>
      </c>
      <c r="P100" s="7"/>
      <c r="Q100" s="7">
        <f t="shared" si="11"/>
        <v>4000</v>
      </c>
    </row>
    <row r="101" ht="16.5" customHeight="1" spans="2:17">
      <c r="B101">
        <v>11104</v>
      </c>
      <c r="C101" t="s">
        <v>210</v>
      </c>
      <c r="D101" t="s">
        <v>214</v>
      </c>
      <c r="E101" s="7" t="s">
        <v>181</v>
      </c>
      <c r="F101">
        <f t="shared" si="8"/>
        <v>11101</v>
      </c>
      <c r="G101" s="11" t="str">
        <f t="shared" si="9"/>
        <v>1,1,8000</v>
      </c>
      <c r="H101">
        <v>3</v>
      </c>
      <c r="I101">
        <v>4</v>
      </c>
      <c r="J101">
        <f t="shared" si="10"/>
        <v>4</v>
      </c>
      <c r="M101">
        <v>0</v>
      </c>
      <c r="N101">
        <v>11104</v>
      </c>
      <c r="P101" s="7"/>
      <c r="Q101" s="7">
        <f t="shared" si="11"/>
        <v>8000</v>
      </c>
    </row>
    <row r="102" ht="16.5" customHeight="1" spans="2:17">
      <c r="B102">
        <v>11105</v>
      </c>
      <c r="C102" t="s">
        <v>210</v>
      </c>
      <c r="D102" t="s">
        <v>215</v>
      </c>
      <c r="E102" s="7" t="s">
        <v>181</v>
      </c>
      <c r="F102">
        <f t="shared" si="8"/>
        <v>11101</v>
      </c>
      <c r="G102" s="11" t="str">
        <f t="shared" si="9"/>
        <v>1,1,16000</v>
      </c>
      <c r="H102">
        <v>3</v>
      </c>
      <c r="I102">
        <v>5</v>
      </c>
      <c r="J102">
        <f t="shared" si="10"/>
        <v>5</v>
      </c>
      <c r="M102">
        <v>0</v>
      </c>
      <c r="N102">
        <v>11105</v>
      </c>
      <c r="P102" s="7"/>
      <c r="Q102" s="7">
        <f t="shared" si="11"/>
        <v>16000</v>
      </c>
    </row>
    <row r="103" ht="16.5" customHeight="1" spans="2:17">
      <c r="B103">
        <v>11106</v>
      </c>
      <c r="C103" t="s">
        <v>210</v>
      </c>
      <c r="D103" t="s">
        <v>216</v>
      </c>
      <c r="E103" s="7" t="s">
        <v>181</v>
      </c>
      <c r="F103">
        <f t="shared" si="8"/>
        <v>11101</v>
      </c>
      <c r="G103" s="11" t="str">
        <f t="shared" si="9"/>
        <v>1,1,32000</v>
      </c>
      <c r="H103">
        <v>3</v>
      </c>
      <c r="I103">
        <v>6</v>
      </c>
      <c r="J103">
        <f t="shared" si="10"/>
        <v>6</v>
      </c>
      <c r="M103">
        <v>0</v>
      </c>
      <c r="N103">
        <v>11106</v>
      </c>
      <c r="P103" s="7"/>
      <c r="Q103" s="7">
        <f t="shared" si="11"/>
        <v>32000</v>
      </c>
    </row>
    <row r="104" ht="16.5" customHeight="1" spans="2:17">
      <c r="B104">
        <v>11107</v>
      </c>
      <c r="C104" t="s">
        <v>210</v>
      </c>
      <c r="D104" t="s">
        <v>217</v>
      </c>
      <c r="E104" s="7" t="s">
        <v>181</v>
      </c>
      <c r="F104">
        <f t="shared" si="8"/>
        <v>11101</v>
      </c>
      <c r="G104" s="11" t="str">
        <f t="shared" si="9"/>
        <v>1,1011,1</v>
      </c>
      <c r="H104">
        <v>3</v>
      </c>
      <c r="I104">
        <v>7</v>
      </c>
      <c r="J104">
        <f t="shared" si="10"/>
        <v>7</v>
      </c>
      <c r="M104">
        <v>0</v>
      </c>
      <c r="N104">
        <v>11107</v>
      </c>
      <c r="P104" s="7"/>
      <c r="Q104" s="7">
        <f t="shared" si="11"/>
        <v>64000</v>
      </c>
    </row>
    <row r="105" ht="16.5" customHeight="1" spans="2:17">
      <c r="B105">
        <v>11108</v>
      </c>
      <c r="C105" t="s">
        <v>218</v>
      </c>
      <c r="D105" t="s">
        <v>219</v>
      </c>
      <c r="E105" s="7" t="s">
        <v>181</v>
      </c>
      <c r="F105">
        <f t="shared" si="8"/>
        <v>11101</v>
      </c>
      <c r="G105" s="11" t="str">
        <f t="shared" si="9"/>
        <v>1,1011,6</v>
      </c>
      <c r="H105">
        <v>3</v>
      </c>
      <c r="I105">
        <v>7</v>
      </c>
      <c r="J105">
        <f t="shared" si="10"/>
        <v>8</v>
      </c>
      <c r="M105">
        <v>0</v>
      </c>
      <c r="N105">
        <v>11108</v>
      </c>
      <c r="P105" s="7"/>
      <c r="Q105" s="7">
        <f t="shared" si="11"/>
        <v>128000</v>
      </c>
    </row>
    <row r="106" ht="16.5" customHeight="1" spans="2:17">
      <c r="B106">
        <v>11201</v>
      </c>
      <c r="C106" t="s">
        <v>220</v>
      </c>
      <c r="D106" s="7" t="s">
        <v>221</v>
      </c>
      <c r="E106" s="7" t="s">
        <v>181</v>
      </c>
      <c r="F106">
        <f t="shared" si="8"/>
        <v>11201</v>
      </c>
      <c r="G106" s="11" t="str">
        <f t="shared" si="9"/>
        <v>1,1,1000</v>
      </c>
      <c r="H106">
        <v>3</v>
      </c>
      <c r="I106">
        <v>1</v>
      </c>
      <c r="J106">
        <f t="shared" si="10"/>
        <v>1</v>
      </c>
      <c r="M106">
        <v>0</v>
      </c>
      <c r="N106">
        <v>11201</v>
      </c>
      <c r="P106" s="7"/>
      <c r="Q106" s="7">
        <f t="shared" si="11"/>
        <v>1000</v>
      </c>
    </row>
    <row r="107" ht="16.5" customHeight="1" spans="2:17">
      <c r="B107">
        <v>11202</v>
      </c>
      <c r="C107" t="s">
        <v>220</v>
      </c>
      <c r="D107" t="s">
        <v>222</v>
      </c>
      <c r="E107" s="7" t="s">
        <v>181</v>
      </c>
      <c r="F107">
        <f t="shared" si="8"/>
        <v>11201</v>
      </c>
      <c r="G107" s="11" t="str">
        <f t="shared" si="9"/>
        <v>1,1,2000</v>
      </c>
      <c r="H107">
        <v>3</v>
      </c>
      <c r="I107">
        <v>2</v>
      </c>
      <c r="J107">
        <f t="shared" si="10"/>
        <v>2</v>
      </c>
      <c r="M107">
        <v>0</v>
      </c>
      <c r="N107">
        <v>11202</v>
      </c>
      <c r="P107" s="7"/>
      <c r="Q107" s="7">
        <f t="shared" si="11"/>
        <v>2000</v>
      </c>
    </row>
    <row r="108" ht="16.5" customHeight="1" spans="2:17">
      <c r="B108">
        <v>11203</v>
      </c>
      <c r="C108" t="s">
        <v>220</v>
      </c>
      <c r="D108" t="s">
        <v>223</v>
      </c>
      <c r="E108" s="7" t="s">
        <v>181</v>
      </c>
      <c r="F108">
        <f t="shared" si="8"/>
        <v>11201</v>
      </c>
      <c r="G108" s="11" t="str">
        <f t="shared" si="9"/>
        <v>1,1,4000</v>
      </c>
      <c r="H108">
        <v>3</v>
      </c>
      <c r="I108">
        <v>3</v>
      </c>
      <c r="J108">
        <f t="shared" si="10"/>
        <v>3</v>
      </c>
      <c r="M108">
        <v>0</v>
      </c>
      <c r="N108">
        <v>11203</v>
      </c>
      <c r="P108" s="7"/>
      <c r="Q108" s="7">
        <f t="shared" si="11"/>
        <v>4000</v>
      </c>
    </row>
    <row r="109" ht="16.5" customHeight="1" spans="2:17">
      <c r="B109">
        <v>11204</v>
      </c>
      <c r="C109" t="s">
        <v>220</v>
      </c>
      <c r="D109" t="s">
        <v>224</v>
      </c>
      <c r="E109" s="7" t="s">
        <v>181</v>
      </c>
      <c r="F109">
        <f t="shared" si="8"/>
        <v>11201</v>
      </c>
      <c r="G109" s="11" t="str">
        <f t="shared" si="9"/>
        <v>1,1,8000</v>
      </c>
      <c r="H109">
        <v>3</v>
      </c>
      <c r="I109">
        <v>4</v>
      </c>
      <c r="J109">
        <f t="shared" si="10"/>
        <v>4</v>
      </c>
      <c r="M109">
        <v>0</v>
      </c>
      <c r="N109">
        <v>11204</v>
      </c>
      <c r="P109" s="7"/>
      <c r="Q109" s="7">
        <f t="shared" si="11"/>
        <v>8000</v>
      </c>
    </row>
    <row r="110" ht="16.5" customHeight="1" spans="2:17">
      <c r="B110">
        <v>11205</v>
      </c>
      <c r="C110" t="s">
        <v>220</v>
      </c>
      <c r="D110" t="s">
        <v>225</v>
      </c>
      <c r="E110" s="7" t="s">
        <v>181</v>
      </c>
      <c r="F110">
        <f t="shared" si="8"/>
        <v>11201</v>
      </c>
      <c r="G110" s="11" t="str">
        <f t="shared" si="9"/>
        <v>1,1,16000</v>
      </c>
      <c r="H110">
        <v>3</v>
      </c>
      <c r="I110">
        <v>5</v>
      </c>
      <c r="J110">
        <f t="shared" si="10"/>
        <v>5</v>
      </c>
      <c r="M110">
        <v>0</v>
      </c>
      <c r="N110">
        <v>11205</v>
      </c>
      <c r="P110" s="7"/>
      <c r="Q110" s="7">
        <f t="shared" si="11"/>
        <v>16000</v>
      </c>
    </row>
    <row r="111" ht="16.5" customHeight="1" spans="2:17">
      <c r="B111">
        <v>11206</v>
      </c>
      <c r="C111" t="s">
        <v>220</v>
      </c>
      <c r="D111" t="s">
        <v>226</v>
      </c>
      <c r="E111" s="7" t="s">
        <v>181</v>
      </c>
      <c r="F111">
        <f t="shared" si="8"/>
        <v>11201</v>
      </c>
      <c r="G111" s="11" t="str">
        <f t="shared" si="9"/>
        <v>1,1,32000</v>
      </c>
      <c r="H111">
        <v>3</v>
      </c>
      <c r="I111">
        <v>6</v>
      </c>
      <c r="J111">
        <f t="shared" si="10"/>
        <v>6</v>
      </c>
      <c r="M111">
        <v>0</v>
      </c>
      <c r="N111">
        <v>11206</v>
      </c>
      <c r="P111" s="7"/>
      <c r="Q111" s="7">
        <f t="shared" si="11"/>
        <v>32000</v>
      </c>
    </row>
    <row r="112" ht="16.5" customHeight="1" spans="2:17">
      <c r="B112">
        <v>11207</v>
      </c>
      <c r="C112" t="s">
        <v>220</v>
      </c>
      <c r="D112" t="s">
        <v>227</v>
      </c>
      <c r="E112" s="7" t="s">
        <v>181</v>
      </c>
      <c r="F112">
        <f t="shared" si="8"/>
        <v>11201</v>
      </c>
      <c r="G112" s="11" t="str">
        <f t="shared" si="9"/>
        <v>1,1011,1</v>
      </c>
      <c r="H112">
        <v>3</v>
      </c>
      <c r="I112">
        <v>7</v>
      </c>
      <c r="J112">
        <f t="shared" si="10"/>
        <v>7</v>
      </c>
      <c r="M112">
        <v>0</v>
      </c>
      <c r="N112">
        <v>11207</v>
      </c>
      <c r="P112" s="7"/>
      <c r="Q112" s="7">
        <f t="shared" si="11"/>
        <v>64000</v>
      </c>
    </row>
    <row r="113" ht="16.5" customHeight="1" spans="2:17">
      <c r="B113">
        <v>11208</v>
      </c>
      <c r="C113" t="s">
        <v>228</v>
      </c>
      <c r="D113" t="s">
        <v>229</v>
      </c>
      <c r="E113" s="7" t="s">
        <v>181</v>
      </c>
      <c r="F113">
        <f t="shared" si="8"/>
        <v>11201</v>
      </c>
      <c r="G113" s="11" t="str">
        <f t="shared" si="9"/>
        <v>1,1011,6</v>
      </c>
      <c r="H113">
        <v>3</v>
      </c>
      <c r="I113">
        <v>7</v>
      </c>
      <c r="J113">
        <f t="shared" si="10"/>
        <v>8</v>
      </c>
      <c r="M113">
        <v>0</v>
      </c>
      <c r="N113">
        <v>11208</v>
      </c>
      <c r="P113" s="7"/>
      <c r="Q113" s="7">
        <f t="shared" si="11"/>
        <v>128000</v>
      </c>
    </row>
    <row r="114" ht="16.5" customHeight="1" spans="2:17">
      <c r="B114">
        <v>11301</v>
      </c>
      <c r="C114" t="s">
        <v>230</v>
      </c>
      <c r="D114" t="s">
        <v>231</v>
      </c>
      <c r="E114" s="7" t="s">
        <v>181</v>
      </c>
      <c r="F114">
        <f t="shared" ref="F114:F145" si="12">F106+100</f>
        <v>11301</v>
      </c>
      <c r="G114" s="11" t="str">
        <f t="shared" ref="G114:G145" si="13">G106</f>
        <v>1,1,1000</v>
      </c>
      <c r="H114">
        <v>3</v>
      </c>
      <c r="I114">
        <v>1</v>
      </c>
      <c r="J114">
        <f t="shared" ref="J114:J145" si="14">J106</f>
        <v>1</v>
      </c>
      <c r="M114">
        <v>0</v>
      </c>
      <c r="N114">
        <v>11301</v>
      </c>
      <c r="P114" s="7"/>
      <c r="Q114" s="7">
        <f t="shared" ref="Q114:Q145" si="15">Q106</f>
        <v>1000</v>
      </c>
    </row>
    <row r="115" ht="16.5" customHeight="1" spans="2:17">
      <c r="B115">
        <v>11302</v>
      </c>
      <c r="C115" t="s">
        <v>230</v>
      </c>
      <c r="D115" t="s">
        <v>232</v>
      </c>
      <c r="E115" s="7" t="s">
        <v>181</v>
      </c>
      <c r="F115">
        <f t="shared" si="12"/>
        <v>11301</v>
      </c>
      <c r="G115" s="11" t="str">
        <f t="shared" si="13"/>
        <v>1,1,2000</v>
      </c>
      <c r="H115">
        <v>3</v>
      </c>
      <c r="I115">
        <v>2</v>
      </c>
      <c r="J115">
        <f t="shared" si="14"/>
        <v>2</v>
      </c>
      <c r="M115">
        <v>0</v>
      </c>
      <c r="N115">
        <v>11302</v>
      </c>
      <c r="P115" s="7"/>
      <c r="Q115" s="7">
        <f t="shared" si="15"/>
        <v>2000</v>
      </c>
    </row>
    <row r="116" ht="16.5" customHeight="1" spans="2:17">
      <c r="B116">
        <v>11303</v>
      </c>
      <c r="C116" t="s">
        <v>230</v>
      </c>
      <c r="D116" t="s">
        <v>233</v>
      </c>
      <c r="E116" s="7" t="s">
        <v>181</v>
      </c>
      <c r="F116">
        <f t="shared" si="12"/>
        <v>11301</v>
      </c>
      <c r="G116" s="11" t="str">
        <f t="shared" si="13"/>
        <v>1,1,4000</v>
      </c>
      <c r="H116">
        <v>3</v>
      </c>
      <c r="I116">
        <v>3</v>
      </c>
      <c r="J116">
        <f t="shared" si="14"/>
        <v>3</v>
      </c>
      <c r="M116">
        <v>0</v>
      </c>
      <c r="N116">
        <v>11303</v>
      </c>
      <c r="P116" s="7"/>
      <c r="Q116" s="7">
        <f t="shared" si="15"/>
        <v>4000</v>
      </c>
    </row>
    <row r="117" ht="16.5" customHeight="1" spans="2:17">
      <c r="B117">
        <v>11304</v>
      </c>
      <c r="C117" t="s">
        <v>230</v>
      </c>
      <c r="D117" t="s">
        <v>234</v>
      </c>
      <c r="E117" s="7" t="s">
        <v>181</v>
      </c>
      <c r="F117">
        <f t="shared" si="12"/>
        <v>11301</v>
      </c>
      <c r="G117" s="11" t="str">
        <f t="shared" si="13"/>
        <v>1,1,8000</v>
      </c>
      <c r="H117">
        <v>3</v>
      </c>
      <c r="I117">
        <v>4</v>
      </c>
      <c r="J117">
        <f t="shared" si="14"/>
        <v>4</v>
      </c>
      <c r="M117">
        <v>0</v>
      </c>
      <c r="N117">
        <v>11304</v>
      </c>
      <c r="P117" s="7"/>
      <c r="Q117" s="7">
        <f t="shared" si="15"/>
        <v>8000</v>
      </c>
    </row>
    <row r="118" ht="16.5" customHeight="1" spans="2:17">
      <c r="B118">
        <v>11305</v>
      </c>
      <c r="C118" t="s">
        <v>230</v>
      </c>
      <c r="D118" t="s">
        <v>235</v>
      </c>
      <c r="E118" s="7" t="s">
        <v>181</v>
      </c>
      <c r="F118">
        <f t="shared" si="12"/>
        <v>11301</v>
      </c>
      <c r="G118" s="11" t="str">
        <f t="shared" si="13"/>
        <v>1,1,16000</v>
      </c>
      <c r="H118">
        <v>3</v>
      </c>
      <c r="I118">
        <v>5</v>
      </c>
      <c r="J118">
        <f t="shared" si="14"/>
        <v>5</v>
      </c>
      <c r="M118">
        <v>0</v>
      </c>
      <c r="N118">
        <v>11305</v>
      </c>
      <c r="P118" s="7"/>
      <c r="Q118" s="7">
        <f t="shared" si="15"/>
        <v>16000</v>
      </c>
    </row>
    <row r="119" ht="16.5" customHeight="1" spans="2:17">
      <c r="B119">
        <v>11306</v>
      </c>
      <c r="C119" t="s">
        <v>230</v>
      </c>
      <c r="D119" t="s">
        <v>236</v>
      </c>
      <c r="E119" s="7" t="s">
        <v>181</v>
      </c>
      <c r="F119">
        <f t="shared" si="12"/>
        <v>11301</v>
      </c>
      <c r="G119" s="11" t="str">
        <f t="shared" si="13"/>
        <v>1,1,32000</v>
      </c>
      <c r="H119">
        <v>3</v>
      </c>
      <c r="I119">
        <v>6</v>
      </c>
      <c r="J119">
        <f t="shared" si="14"/>
        <v>6</v>
      </c>
      <c r="M119">
        <v>0</v>
      </c>
      <c r="N119">
        <v>11306</v>
      </c>
      <c r="P119" s="7"/>
      <c r="Q119" s="7">
        <f t="shared" si="15"/>
        <v>32000</v>
      </c>
    </row>
    <row r="120" ht="16.5" customHeight="1" spans="2:17">
      <c r="B120">
        <v>11307</v>
      </c>
      <c r="C120" t="s">
        <v>230</v>
      </c>
      <c r="D120" t="s">
        <v>237</v>
      </c>
      <c r="E120" s="7" t="s">
        <v>181</v>
      </c>
      <c r="F120">
        <f t="shared" si="12"/>
        <v>11301</v>
      </c>
      <c r="G120" s="11" t="str">
        <f t="shared" si="13"/>
        <v>1,1011,1</v>
      </c>
      <c r="H120">
        <v>3</v>
      </c>
      <c r="I120">
        <v>7</v>
      </c>
      <c r="J120">
        <f t="shared" si="14"/>
        <v>7</v>
      </c>
      <c r="M120">
        <v>0</v>
      </c>
      <c r="N120">
        <v>11307</v>
      </c>
      <c r="P120" s="7"/>
      <c r="Q120" s="7">
        <f t="shared" si="15"/>
        <v>64000</v>
      </c>
    </row>
    <row r="121" ht="16.5" customHeight="1" spans="2:17">
      <c r="B121">
        <v>11308</v>
      </c>
      <c r="C121" t="s">
        <v>238</v>
      </c>
      <c r="D121" t="s">
        <v>239</v>
      </c>
      <c r="E121" s="7" t="s">
        <v>181</v>
      </c>
      <c r="F121">
        <f t="shared" si="12"/>
        <v>11301</v>
      </c>
      <c r="G121" s="11" t="str">
        <f t="shared" si="13"/>
        <v>1,1011,6</v>
      </c>
      <c r="H121">
        <v>3</v>
      </c>
      <c r="I121">
        <v>7</v>
      </c>
      <c r="J121">
        <f t="shared" si="14"/>
        <v>8</v>
      </c>
      <c r="M121">
        <v>0</v>
      </c>
      <c r="N121">
        <v>11308</v>
      </c>
      <c r="P121" s="7"/>
      <c r="Q121" s="7">
        <f t="shared" si="15"/>
        <v>128000</v>
      </c>
    </row>
    <row r="122" ht="16.5" customHeight="1" spans="2:17">
      <c r="B122">
        <v>11401</v>
      </c>
      <c r="C122" t="s">
        <v>240</v>
      </c>
      <c r="D122" s="7" t="s">
        <v>241</v>
      </c>
      <c r="E122" s="7" t="s">
        <v>242</v>
      </c>
      <c r="F122">
        <f t="shared" si="12"/>
        <v>11401</v>
      </c>
      <c r="G122" s="11" t="str">
        <f t="shared" si="13"/>
        <v>1,1,1000</v>
      </c>
      <c r="H122">
        <v>3</v>
      </c>
      <c r="I122">
        <v>1</v>
      </c>
      <c r="J122">
        <f t="shared" si="14"/>
        <v>1</v>
      </c>
      <c r="M122">
        <v>0</v>
      </c>
      <c r="N122">
        <v>11401</v>
      </c>
      <c r="P122" s="7"/>
      <c r="Q122" s="7">
        <f t="shared" si="15"/>
        <v>1000</v>
      </c>
    </row>
    <row r="123" ht="16.5" customHeight="1" spans="2:17">
      <c r="B123">
        <v>11402</v>
      </c>
      <c r="C123" t="s">
        <v>240</v>
      </c>
      <c r="D123" s="7" t="s">
        <v>243</v>
      </c>
      <c r="E123" s="7" t="s">
        <v>242</v>
      </c>
      <c r="F123">
        <f t="shared" si="12"/>
        <v>11401</v>
      </c>
      <c r="G123" s="11" t="str">
        <f t="shared" si="13"/>
        <v>1,1,2000</v>
      </c>
      <c r="H123">
        <v>3</v>
      </c>
      <c r="I123">
        <v>2</v>
      </c>
      <c r="J123">
        <f t="shared" si="14"/>
        <v>2</v>
      </c>
      <c r="M123">
        <v>0</v>
      </c>
      <c r="N123">
        <v>11402</v>
      </c>
      <c r="P123" s="7"/>
      <c r="Q123" s="7">
        <f t="shared" si="15"/>
        <v>2000</v>
      </c>
    </row>
    <row r="124" ht="16.5" customHeight="1" spans="2:17">
      <c r="B124">
        <v>11403</v>
      </c>
      <c r="C124" t="s">
        <v>240</v>
      </c>
      <c r="D124" s="7" t="s">
        <v>244</v>
      </c>
      <c r="E124" s="7" t="s">
        <v>242</v>
      </c>
      <c r="F124">
        <f t="shared" si="12"/>
        <v>11401</v>
      </c>
      <c r="G124" s="11" t="str">
        <f t="shared" si="13"/>
        <v>1,1,4000</v>
      </c>
      <c r="H124">
        <v>3</v>
      </c>
      <c r="I124">
        <v>3</v>
      </c>
      <c r="J124">
        <f t="shared" si="14"/>
        <v>3</v>
      </c>
      <c r="M124">
        <v>0</v>
      </c>
      <c r="N124">
        <v>11403</v>
      </c>
      <c r="P124" s="7"/>
      <c r="Q124" s="7">
        <f t="shared" si="15"/>
        <v>4000</v>
      </c>
    </row>
    <row r="125" ht="16.5" customHeight="1" spans="2:17">
      <c r="B125">
        <v>11404</v>
      </c>
      <c r="C125" t="s">
        <v>240</v>
      </c>
      <c r="D125" s="7" t="s">
        <v>245</v>
      </c>
      <c r="E125" s="7" t="s">
        <v>242</v>
      </c>
      <c r="F125">
        <f t="shared" si="12"/>
        <v>11401</v>
      </c>
      <c r="G125" s="11" t="str">
        <f t="shared" si="13"/>
        <v>1,1,8000</v>
      </c>
      <c r="H125">
        <v>3</v>
      </c>
      <c r="I125">
        <v>4</v>
      </c>
      <c r="J125">
        <f t="shared" si="14"/>
        <v>4</v>
      </c>
      <c r="M125">
        <v>0</v>
      </c>
      <c r="N125">
        <v>11404</v>
      </c>
      <c r="P125" s="7"/>
      <c r="Q125" s="7">
        <f t="shared" si="15"/>
        <v>8000</v>
      </c>
    </row>
    <row r="126" ht="16.5" customHeight="1" spans="2:17">
      <c r="B126">
        <v>11405</v>
      </c>
      <c r="C126" t="s">
        <v>240</v>
      </c>
      <c r="D126" s="7" t="s">
        <v>246</v>
      </c>
      <c r="E126" s="7" t="s">
        <v>242</v>
      </c>
      <c r="F126">
        <f t="shared" si="12"/>
        <v>11401</v>
      </c>
      <c r="G126" s="11" t="str">
        <f t="shared" si="13"/>
        <v>1,1,16000</v>
      </c>
      <c r="H126">
        <v>3</v>
      </c>
      <c r="I126">
        <v>5</v>
      </c>
      <c r="J126">
        <f t="shared" si="14"/>
        <v>5</v>
      </c>
      <c r="M126">
        <v>0</v>
      </c>
      <c r="N126">
        <v>11405</v>
      </c>
      <c r="P126" s="7"/>
      <c r="Q126" s="7">
        <f t="shared" si="15"/>
        <v>16000</v>
      </c>
    </row>
    <row r="127" ht="16.5" customHeight="1" spans="2:17">
      <c r="B127">
        <v>11406</v>
      </c>
      <c r="C127" t="s">
        <v>240</v>
      </c>
      <c r="D127" s="7" t="s">
        <v>247</v>
      </c>
      <c r="E127" s="7" t="s">
        <v>242</v>
      </c>
      <c r="F127">
        <f t="shared" si="12"/>
        <v>11401</v>
      </c>
      <c r="G127" s="11" t="str">
        <f t="shared" si="13"/>
        <v>1,1,32000</v>
      </c>
      <c r="H127">
        <v>3</v>
      </c>
      <c r="I127">
        <v>6</v>
      </c>
      <c r="J127">
        <f t="shared" si="14"/>
        <v>6</v>
      </c>
      <c r="M127">
        <v>0</v>
      </c>
      <c r="N127">
        <v>11406</v>
      </c>
      <c r="P127" s="7"/>
      <c r="Q127" s="7">
        <f t="shared" si="15"/>
        <v>32000</v>
      </c>
    </row>
    <row r="128" ht="16.5" customHeight="1" spans="2:17">
      <c r="B128">
        <v>11407</v>
      </c>
      <c r="C128" t="s">
        <v>240</v>
      </c>
      <c r="D128" s="7" t="s">
        <v>248</v>
      </c>
      <c r="E128" s="7" t="s">
        <v>242</v>
      </c>
      <c r="F128">
        <f t="shared" si="12"/>
        <v>11401</v>
      </c>
      <c r="G128" s="11" t="str">
        <f t="shared" si="13"/>
        <v>1,1011,1</v>
      </c>
      <c r="H128">
        <v>3</v>
      </c>
      <c r="I128">
        <v>7</v>
      </c>
      <c r="J128">
        <f t="shared" si="14"/>
        <v>7</v>
      </c>
      <c r="M128">
        <v>0</v>
      </c>
      <c r="N128">
        <v>11407</v>
      </c>
      <c r="P128" s="7"/>
      <c r="Q128" s="7">
        <f t="shared" si="15"/>
        <v>64000</v>
      </c>
    </row>
    <row r="129" ht="16.5" customHeight="1" spans="2:17">
      <c r="B129">
        <v>11408</v>
      </c>
      <c r="C129" t="s">
        <v>249</v>
      </c>
      <c r="D129" s="7" t="s">
        <v>250</v>
      </c>
      <c r="E129" s="7" t="s">
        <v>242</v>
      </c>
      <c r="F129">
        <f t="shared" si="12"/>
        <v>11401</v>
      </c>
      <c r="G129" s="11" t="str">
        <f t="shared" si="13"/>
        <v>1,1011,6</v>
      </c>
      <c r="H129">
        <v>3</v>
      </c>
      <c r="I129">
        <v>7</v>
      </c>
      <c r="J129">
        <f t="shared" si="14"/>
        <v>8</v>
      </c>
      <c r="M129">
        <v>0</v>
      </c>
      <c r="N129">
        <v>11408</v>
      </c>
      <c r="P129" s="7"/>
      <c r="Q129" s="7">
        <f t="shared" si="15"/>
        <v>128000</v>
      </c>
    </row>
    <row r="130" ht="16.5" customHeight="1" spans="2:17">
      <c r="B130">
        <v>11501</v>
      </c>
      <c r="C130" t="s">
        <v>251</v>
      </c>
      <c r="D130" t="s">
        <v>252</v>
      </c>
      <c r="E130" s="7" t="s">
        <v>82</v>
      </c>
      <c r="F130">
        <f t="shared" si="12"/>
        <v>11501</v>
      </c>
      <c r="G130" s="11" t="str">
        <f t="shared" si="13"/>
        <v>1,1,1000</v>
      </c>
      <c r="H130">
        <v>3</v>
      </c>
      <c r="I130">
        <v>1</v>
      </c>
      <c r="J130">
        <f t="shared" si="14"/>
        <v>1</v>
      </c>
      <c r="M130">
        <v>0</v>
      </c>
      <c r="N130">
        <v>11501</v>
      </c>
      <c r="P130" s="7"/>
      <c r="Q130" s="7">
        <f t="shared" si="15"/>
        <v>1000</v>
      </c>
    </row>
    <row r="131" ht="16.5" customHeight="1" spans="2:17">
      <c r="B131">
        <v>11502</v>
      </c>
      <c r="C131" t="s">
        <v>251</v>
      </c>
      <c r="D131" t="s">
        <v>253</v>
      </c>
      <c r="E131" s="7" t="s">
        <v>82</v>
      </c>
      <c r="F131">
        <f t="shared" si="12"/>
        <v>11501</v>
      </c>
      <c r="G131" s="11" t="str">
        <f t="shared" si="13"/>
        <v>1,1,2000</v>
      </c>
      <c r="H131">
        <v>3</v>
      </c>
      <c r="I131">
        <v>2</v>
      </c>
      <c r="J131">
        <f t="shared" si="14"/>
        <v>2</v>
      </c>
      <c r="M131">
        <v>0</v>
      </c>
      <c r="N131">
        <v>11502</v>
      </c>
      <c r="P131" s="7"/>
      <c r="Q131" s="7">
        <f t="shared" si="15"/>
        <v>2000</v>
      </c>
    </row>
    <row r="132" ht="16.5" customHeight="1" spans="2:17">
      <c r="B132">
        <v>11503</v>
      </c>
      <c r="C132" t="s">
        <v>251</v>
      </c>
      <c r="D132" t="s">
        <v>254</v>
      </c>
      <c r="E132" s="7" t="s">
        <v>82</v>
      </c>
      <c r="F132">
        <f t="shared" si="12"/>
        <v>11501</v>
      </c>
      <c r="G132" s="11" t="str">
        <f t="shared" si="13"/>
        <v>1,1,4000</v>
      </c>
      <c r="H132">
        <v>3</v>
      </c>
      <c r="I132">
        <v>3</v>
      </c>
      <c r="J132">
        <f t="shared" si="14"/>
        <v>3</v>
      </c>
      <c r="M132">
        <v>0</v>
      </c>
      <c r="N132">
        <v>11503</v>
      </c>
      <c r="P132" s="7"/>
      <c r="Q132" s="7">
        <f t="shared" si="15"/>
        <v>4000</v>
      </c>
    </row>
    <row r="133" ht="16.5" customHeight="1" spans="2:17">
      <c r="B133">
        <v>11504</v>
      </c>
      <c r="C133" t="s">
        <v>251</v>
      </c>
      <c r="D133" t="s">
        <v>255</v>
      </c>
      <c r="E133" s="7" t="s">
        <v>82</v>
      </c>
      <c r="F133">
        <f t="shared" si="12"/>
        <v>11501</v>
      </c>
      <c r="G133" s="11" t="str">
        <f t="shared" si="13"/>
        <v>1,1,8000</v>
      </c>
      <c r="H133">
        <v>3</v>
      </c>
      <c r="I133">
        <v>4</v>
      </c>
      <c r="J133">
        <f t="shared" si="14"/>
        <v>4</v>
      </c>
      <c r="M133">
        <v>0</v>
      </c>
      <c r="N133">
        <v>11504</v>
      </c>
      <c r="P133" s="7"/>
      <c r="Q133" s="7">
        <f t="shared" si="15"/>
        <v>8000</v>
      </c>
    </row>
    <row r="134" ht="16.5" customHeight="1" spans="2:17">
      <c r="B134">
        <v>11505</v>
      </c>
      <c r="C134" t="s">
        <v>251</v>
      </c>
      <c r="D134" t="s">
        <v>256</v>
      </c>
      <c r="E134" s="7" t="s">
        <v>82</v>
      </c>
      <c r="F134">
        <f t="shared" si="12"/>
        <v>11501</v>
      </c>
      <c r="G134" s="11" t="str">
        <f t="shared" si="13"/>
        <v>1,1,16000</v>
      </c>
      <c r="H134">
        <v>3</v>
      </c>
      <c r="I134">
        <v>5</v>
      </c>
      <c r="J134">
        <f t="shared" si="14"/>
        <v>5</v>
      </c>
      <c r="M134">
        <v>0</v>
      </c>
      <c r="N134">
        <v>11505</v>
      </c>
      <c r="P134" s="7"/>
      <c r="Q134" s="7">
        <f t="shared" si="15"/>
        <v>16000</v>
      </c>
    </row>
    <row r="135" ht="16.5" customHeight="1" spans="2:17">
      <c r="B135">
        <v>11506</v>
      </c>
      <c r="C135" t="s">
        <v>251</v>
      </c>
      <c r="D135" t="s">
        <v>257</v>
      </c>
      <c r="E135" s="7" t="s">
        <v>82</v>
      </c>
      <c r="F135">
        <f t="shared" si="12"/>
        <v>11501</v>
      </c>
      <c r="G135" s="11" t="str">
        <f t="shared" si="13"/>
        <v>1,1,32000</v>
      </c>
      <c r="H135">
        <v>3</v>
      </c>
      <c r="I135">
        <v>6</v>
      </c>
      <c r="J135">
        <f t="shared" si="14"/>
        <v>6</v>
      </c>
      <c r="M135">
        <v>0</v>
      </c>
      <c r="N135">
        <v>11506</v>
      </c>
      <c r="P135" s="7"/>
      <c r="Q135" s="7">
        <f t="shared" si="15"/>
        <v>32000</v>
      </c>
    </row>
    <row r="136" ht="16.5" customHeight="1" spans="2:17">
      <c r="B136">
        <v>11507</v>
      </c>
      <c r="C136" t="s">
        <v>251</v>
      </c>
      <c r="D136" t="s">
        <v>258</v>
      </c>
      <c r="E136" s="7" t="s">
        <v>82</v>
      </c>
      <c r="F136">
        <f t="shared" si="12"/>
        <v>11501</v>
      </c>
      <c r="G136" s="11" t="str">
        <f t="shared" si="13"/>
        <v>1,1011,1</v>
      </c>
      <c r="H136">
        <v>3</v>
      </c>
      <c r="I136">
        <v>7</v>
      </c>
      <c r="J136">
        <f t="shared" si="14"/>
        <v>7</v>
      </c>
      <c r="M136">
        <v>0</v>
      </c>
      <c r="N136">
        <v>11507</v>
      </c>
      <c r="P136" s="7"/>
      <c r="Q136" s="7">
        <f t="shared" si="15"/>
        <v>64000</v>
      </c>
    </row>
    <row r="137" ht="16.5" customHeight="1" spans="2:17">
      <c r="B137">
        <v>11508</v>
      </c>
      <c r="C137" t="s">
        <v>259</v>
      </c>
      <c r="D137" t="s">
        <v>260</v>
      </c>
      <c r="E137" s="7" t="s">
        <v>82</v>
      </c>
      <c r="F137">
        <f t="shared" si="12"/>
        <v>11501</v>
      </c>
      <c r="G137" s="11" t="str">
        <f t="shared" si="13"/>
        <v>1,1011,6</v>
      </c>
      <c r="H137">
        <v>3</v>
      </c>
      <c r="I137">
        <v>7</v>
      </c>
      <c r="J137">
        <f t="shared" si="14"/>
        <v>8</v>
      </c>
      <c r="M137">
        <v>0</v>
      </c>
      <c r="N137">
        <v>11508</v>
      </c>
      <c r="P137" s="7"/>
      <c r="Q137" s="7">
        <f t="shared" si="15"/>
        <v>128000</v>
      </c>
    </row>
    <row r="138" ht="16.5" customHeight="1" spans="2:17">
      <c r="B138">
        <v>11601</v>
      </c>
      <c r="C138" t="s">
        <v>261</v>
      </c>
      <c r="D138" t="s">
        <v>262</v>
      </c>
      <c r="E138" s="7" t="s">
        <v>82</v>
      </c>
      <c r="F138">
        <f t="shared" si="12"/>
        <v>11601</v>
      </c>
      <c r="G138" s="11" t="str">
        <f t="shared" si="13"/>
        <v>1,1,1000</v>
      </c>
      <c r="H138">
        <v>3</v>
      </c>
      <c r="I138">
        <v>1</v>
      </c>
      <c r="J138">
        <f t="shared" si="14"/>
        <v>1</v>
      </c>
      <c r="M138">
        <v>0</v>
      </c>
      <c r="N138">
        <v>11601</v>
      </c>
      <c r="P138" s="7"/>
      <c r="Q138" s="7">
        <f t="shared" si="15"/>
        <v>1000</v>
      </c>
    </row>
    <row r="139" ht="16.5" customHeight="1" spans="2:17">
      <c r="B139">
        <v>11602</v>
      </c>
      <c r="C139" t="s">
        <v>261</v>
      </c>
      <c r="D139" t="s">
        <v>263</v>
      </c>
      <c r="E139" s="7" t="s">
        <v>82</v>
      </c>
      <c r="F139">
        <f t="shared" si="12"/>
        <v>11601</v>
      </c>
      <c r="G139" s="11" t="str">
        <f t="shared" si="13"/>
        <v>1,1,2000</v>
      </c>
      <c r="H139">
        <v>3</v>
      </c>
      <c r="I139">
        <v>2</v>
      </c>
      <c r="J139">
        <f t="shared" si="14"/>
        <v>2</v>
      </c>
      <c r="M139">
        <v>0</v>
      </c>
      <c r="N139">
        <v>11602</v>
      </c>
      <c r="P139" s="7"/>
      <c r="Q139" s="7">
        <f t="shared" si="15"/>
        <v>2000</v>
      </c>
    </row>
    <row r="140" ht="16.5" customHeight="1" spans="2:17">
      <c r="B140">
        <v>11603</v>
      </c>
      <c r="C140" t="s">
        <v>261</v>
      </c>
      <c r="D140" t="s">
        <v>264</v>
      </c>
      <c r="E140" s="7" t="s">
        <v>82</v>
      </c>
      <c r="F140">
        <f t="shared" si="12"/>
        <v>11601</v>
      </c>
      <c r="G140" s="11" t="str">
        <f t="shared" si="13"/>
        <v>1,1,4000</v>
      </c>
      <c r="H140">
        <v>3</v>
      </c>
      <c r="I140">
        <v>3</v>
      </c>
      <c r="J140">
        <f t="shared" si="14"/>
        <v>3</v>
      </c>
      <c r="M140">
        <v>0</v>
      </c>
      <c r="N140">
        <v>11603</v>
      </c>
      <c r="P140" s="7"/>
      <c r="Q140" s="7">
        <f t="shared" si="15"/>
        <v>4000</v>
      </c>
    </row>
    <row r="141" ht="16.5" customHeight="1" spans="2:17">
      <c r="B141">
        <v>11604</v>
      </c>
      <c r="C141" t="s">
        <v>261</v>
      </c>
      <c r="D141" t="s">
        <v>265</v>
      </c>
      <c r="E141" s="7" t="s">
        <v>82</v>
      </c>
      <c r="F141">
        <f t="shared" si="12"/>
        <v>11601</v>
      </c>
      <c r="G141" s="11" t="str">
        <f t="shared" si="13"/>
        <v>1,1,8000</v>
      </c>
      <c r="H141">
        <v>3</v>
      </c>
      <c r="I141">
        <v>4</v>
      </c>
      <c r="J141">
        <f t="shared" si="14"/>
        <v>4</v>
      </c>
      <c r="M141">
        <v>0</v>
      </c>
      <c r="N141">
        <v>11604</v>
      </c>
      <c r="P141" s="7"/>
      <c r="Q141" s="7">
        <f t="shared" si="15"/>
        <v>8000</v>
      </c>
    </row>
    <row r="142" ht="16.5" customHeight="1" spans="2:17">
      <c r="B142">
        <v>11605</v>
      </c>
      <c r="C142" t="s">
        <v>261</v>
      </c>
      <c r="D142" t="s">
        <v>266</v>
      </c>
      <c r="E142" s="7" t="s">
        <v>82</v>
      </c>
      <c r="F142">
        <f t="shared" si="12"/>
        <v>11601</v>
      </c>
      <c r="G142" s="11" t="str">
        <f t="shared" si="13"/>
        <v>1,1,16000</v>
      </c>
      <c r="H142">
        <v>3</v>
      </c>
      <c r="I142">
        <v>5</v>
      </c>
      <c r="J142">
        <f t="shared" si="14"/>
        <v>5</v>
      </c>
      <c r="M142">
        <v>0</v>
      </c>
      <c r="N142">
        <v>11605</v>
      </c>
      <c r="P142" s="7"/>
      <c r="Q142" s="7">
        <f t="shared" si="15"/>
        <v>16000</v>
      </c>
    </row>
    <row r="143" ht="16.5" customHeight="1" spans="2:17">
      <c r="B143">
        <v>11606</v>
      </c>
      <c r="C143" t="s">
        <v>261</v>
      </c>
      <c r="D143" t="s">
        <v>267</v>
      </c>
      <c r="E143" s="7" t="s">
        <v>82</v>
      </c>
      <c r="F143">
        <f t="shared" si="12"/>
        <v>11601</v>
      </c>
      <c r="G143" s="11" t="str">
        <f t="shared" si="13"/>
        <v>1,1,32000</v>
      </c>
      <c r="H143">
        <v>3</v>
      </c>
      <c r="I143">
        <v>6</v>
      </c>
      <c r="J143">
        <f t="shared" si="14"/>
        <v>6</v>
      </c>
      <c r="M143">
        <v>0</v>
      </c>
      <c r="N143">
        <v>11606</v>
      </c>
      <c r="P143" s="7"/>
      <c r="Q143" s="7">
        <f t="shared" si="15"/>
        <v>32000</v>
      </c>
    </row>
    <row r="144" ht="16.5" customHeight="1" spans="2:17">
      <c r="B144">
        <v>11607</v>
      </c>
      <c r="C144" t="s">
        <v>261</v>
      </c>
      <c r="D144" t="s">
        <v>268</v>
      </c>
      <c r="E144" s="7" t="s">
        <v>82</v>
      </c>
      <c r="F144">
        <f t="shared" si="12"/>
        <v>11601</v>
      </c>
      <c r="G144" s="11" t="str">
        <f t="shared" si="13"/>
        <v>1,1011,1</v>
      </c>
      <c r="H144">
        <v>3</v>
      </c>
      <c r="I144">
        <v>7</v>
      </c>
      <c r="J144">
        <f t="shared" si="14"/>
        <v>7</v>
      </c>
      <c r="M144">
        <v>0</v>
      </c>
      <c r="N144">
        <v>11607</v>
      </c>
      <c r="P144" s="7"/>
      <c r="Q144" s="7">
        <f t="shared" si="15"/>
        <v>64000</v>
      </c>
    </row>
    <row r="145" ht="16.5" customHeight="1" spans="2:17">
      <c r="B145">
        <v>11608</v>
      </c>
      <c r="C145" t="s">
        <v>269</v>
      </c>
      <c r="D145" t="s">
        <v>270</v>
      </c>
      <c r="E145" s="7" t="s">
        <v>82</v>
      </c>
      <c r="F145">
        <f t="shared" si="12"/>
        <v>11601</v>
      </c>
      <c r="G145" s="11" t="str">
        <f t="shared" si="13"/>
        <v>1,1011,6</v>
      </c>
      <c r="H145">
        <v>3</v>
      </c>
      <c r="I145">
        <v>7</v>
      </c>
      <c r="J145">
        <f t="shared" si="14"/>
        <v>8</v>
      </c>
      <c r="M145">
        <v>0</v>
      </c>
      <c r="N145">
        <v>11608</v>
      </c>
      <c r="P145" s="7"/>
      <c r="Q145" s="7">
        <f t="shared" si="15"/>
        <v>128000</v>
      </c>
    </row>
    <row r="146" ht="16.5" customHeight="1" spans="2:17">
      <c r="B146">
        <v>11701</v>
      </c>
      <c r="C146" t="s">
        <v>271</v>
      </c>
      <c r="D146" t="s">
        <v>272</v>
      </c>
      <c r="E146" s="7" t="s">
        <v>82</v>
      </c>
      <c r="F146">
        <f t="shared" ref="F146:F178" si="16">F138+100</f>
        <v>11701</v>
      </c>
      <c r="G146" s="11" t="str">
        <f t="shared" ref="G146:G177" si="17">G138</f>
        <v>1,1,1000</v>
      </c>
      <c r="H146">
        <v>3</v>
      </c>
      <c r="I146">
        <v>1</v>
      </c>
      <c r="J146">
        <f t="shared" ref="J146:J169" si="18">J138</f>
        <v>1</v>
      </c>
      <c r="M146">
        <v>0</v>
      </c>
      <c r="N146">
        <v>11701</v>
      </c>
      <c r="P146" s="7"/>
      <c r="Q146" s="7">
        <f t="shared" ref="Q146:Q169" si="19">Q138</f>
        <v>1000</v>
      </c>
    </row>
    <row r="147" ht="16.5" customHeight="1" spans="2:17">
      <c r="B147">
        <v>11702</v>
      </c>
      <c r="C147" t="s">
        <v>271</v>
      </c>
      <c r="D147" t="s">
        <v>273</v>
      </c>
      <c r="E147" s="7" t="s">
        <v>82</v>
      </c>
      <c r="F147">
        <f t="shared" si="16"/>
        <v>11701</v>
      </c>
      <c r="G147" s="11" t="str">
        <f t="shared" si="17"/>
        <v>1,1,2000</v>
      </c>
      <c r="H147">
        <v>3</v>
      </c>
      <c r="I147">
        <v>2</v>
      </c>
      <c r="J147">
        <f t="shared" si="18"/>
        <v>2</v>
      </c>
      <c r="M147">
        <v>0</v>
      </c>
      <c r="N147">
        <v>11702</v>
      </c>
      <c r="P147" s="7"/>
      <c r="Q147" s="7">
        <f t="shared" si="19"/>
        <v>2000</v>
      </c>
    </row>
    <row r="148" ht="16.5" customHeight="1" spans="2:17">
      <c r="B148">
        <v>11703</v>
      </c>
      <c r="C148" t="s">
        <v>271</v>
      </c>
      <c r="D148" t="s">
        <v>274</v>
      </c>
      <c r="E148" s="7" t="s">
        <v>82</v>
      </c>
      <c r="F148">
        <f t="shared" si="16"/>
        <v>11701</v>
      </c>
      <c r="G148" s="11" t="str">
        <f t="shared" si="17"/>
        <v>1,1,4000</v>
      </c>
      <c r="H148">
        <v>3</v>
      </c>
      <c r="I148">
        <v>3</v>
      </c>
      <c r="J148">
        <f t="shared" si="18"/>
        <v>3</v>
      </c>
      <c r="M148">
        <v>0</v>
      </c>
      <c r="N148">
        <v>11703</v>
      </c>
      <c r="P148" s="7"/>
      <c r="Q148" s="7">
        <f t="shared" si="19"/>
        <v>4000</v>
      </c>
    </row>
    <row r="149" ht="16.5" customHeight="1" spans="2:17">
      <c r="B149">
        <v>11704</v>
      </c>
      <c r="C149" t="s">
        <v>271</v>
      </c>
      <c r="D149" t="s">
        <v>275</v>
      </c>
      <c r="E149" s="7" t="s">
        <v>82</v>
      </c>
      <c r="F149">
        <f t="shared" si="16"/>
        <v>11701</v>
      </c>
      <c r="G149" s="11" t="str">
        <f t="shared" si="17"/>
        <v>1,1,8000</v>
      </c>
      <c r="H149">
        <v>3</v>
      </c>
      <c r="I149">
        <v>4</v>
      </c>
      <c r="J149">
        <f t="shared" si="18"/>
        <v>4</v>
      </c>
      <c r="M149">
        <v>0</v>
      </c>
      <c r="N149">
        <v>11704</v>
      </c>
      <c r="P149" s="7"/>
      <c r="Q149" s="7">
        <f t="shared" si="19"/>
        <v>8000</v>
      </c>
    </row>
    <row r="150" ht="16.5" customHeight="1" spans="2:17">
      <c r="B150">
        <v>11705</v>
      </c>
      <c r="C150" t="s">
        <v>271</v>
      </c>
      <c r="D150" t="s">
        <v>276</v>
      </c>
      <c r="E150" s="7" t="s">
        <v>82</v>
      </c>
      <c r="F150">
        <f t="shared" si="16"/>
        <v>11701</v>
      </c>
      <c r="G150" s="11" t="str">
        <f t="shared" si="17"/>
        <v>1,1,16000</v>
      </c>
      <c r="H150">
        <v>3</v>
      </c>
      <c r="I150">
        <v>5</v>
      </c>
      <c r="J150">
        <f t="shared" si="18"/>
        <v>5</v>
      </c>
      <c r="M150">
        <v>0</v>
      </c>
      <c r="N150">
        <v>11705</v>
      </c>
      <c r="P150" s="7"/>
      <c r="Q150" s="7">
        <f t="shared" si="19"/>
        <v>16000</v>
      </c>
    </row>
    <row r="151" ht="16.5" customHeight="1" spans="2:17">
      <c r="B151">
        <v>11706</v>
      </c>
      <c r="C151" t="s">
        <v>271</v>
      </c>
      <c r="D151" t="s">
        <v>277</v>
      </c>
      <c r="E151" s="7" t="s">
        <v>82</v>
      </c>
      <c r="F151">
        <f t="shared" si="16"/>
        <v>11701</v>
      </c>
      <c r="G151" s="11" t="str">
        <f t="shared" si="17"/>
        <v>1,1,32000</v>
      </c>
      <c r="H151">
        <v>3</v>
      </c>
      <c r="I151">
        <v>6</v>
      </c>
      <c r="J151">
        <f t="shared" si="18"/>
        <v>6</v>
      </c>
      <c r="M151">
        <v>0</v>
      </c>
      <c r="N151">
        <v>11706</v>
      </c>
      <c r="P151" s="7"/>
      <c r="Q151" s="7">
        <f t="shared" si="19"/>
        <v>32000</v>
      </c>
    </row>
    <row r="152" ht="16.5" customHeight="1" spans="2:17">
      <c r="B152">
        <v>11707</v>
      </c>
      <c r="C152" t="s">
        <v>271</v>
      </c>
      <c r="D152" t="s">
        <v>278</v>
      </c>
      <c r="E152" s="7" t="s">
        <v>82</v>
      </c>
      <c r="F152">
        <f t="shared" si="16"/>
        <v>11701</v>
      </c>
      <c r="G152" s="11" t="str">
        <f t="shared" si="17"/>
        <v>1,1011,1</v>
      </c>
      <c r="H152">
        <v>3</v>
      </c>
      <c r="I152">
        <v>7</v>
      </c>
      <c r="J152">
        <f t="shared" si="18"/>
        <v>7</v>
      </c>
      <c r="M152">
        <v>0</v>
      </c>
      <c r="N152">
        <v>11707</v>
      </c>
      <c r="P152" s="7"/>
      <c r="Q152" s="7">
        <f t="shared" si="19"/>
        <v>64000</v>
      </c>
    </row>
    <row r="153" ht="16.5" customHeight="1" spans="2:17">
      <c r="B153">
        <v>11708</v>
      </c>
      <c r="C153" t="s">
        <v>279</v>
      </c>
      <c r="D153" t="s">
        <v>280</v>
      </c>
      <c r="E153" s="7" t="s">
        <v>82</v>
      </c>
      <c r="F153">
        <f t="shared" si="16"/>
        <v>11701</v>
      </c>
      <c r="G153" s="11" t="str">
        <f t="shared" si="17"/>
        <v>1,1011,6</v>
      </c>
      <c r="H153">
        <v>3</v>
      </c>
      <c r="I153">
        <v>7</v>
      </c>
      <c r="J153">
        <f t="shared" si="18"/>
        <v>8</v>
      </c>
      <c r="M153">
        <v>0</v>
      </c>
      <c r="N153">
        <v>11708</v>
      </c>
      <c r="P153" s="7"/>
      <c r="Q153" s="7">
        <f t="shared" si="19"/>
        <v>128000</v>
      </c>
    </row>
    <row r="154" ht="16.5" customHeight="1" spans="2:17">
      <c r="B154">
        <v>11801</v>
      </c>
      <c r="C154" t="s">
        <v>281</v>
      </c>
      <c r="D154" t="s">
        <v>282</v>
      </c>
      <c r="E154" s="7" t="s">
        <v>82</v>
      </c>
      <c r="F154">
        <f t="shared" si="16"/>
        <v>11801</v>
      </c>
      <c r="G154" s="11" t="str">
        <f t="shared" si="17"/>
        <v>1,1,1000</v>
      </c>
      <c r="H154">
        <v>3</v>
      </c>
      <c r="I154">
        <v>1</v>
      </c>
      <c r="J154">
        <f t="shared" si="18"/>
        <v>1</v>
      </c>
      <c r="M154">
        <v>0</v>
      </c>
      <c r="N154"/>
      <c r="P154" s="9" t="s">
        <v>283</v>
      </c>
      <c r="Q154" s="7">
        <f t="shared" si="19"/>
        <v>1000</v>
      </c>
    </row>
    <row r="155" ht="16.5" customHeight="1" spans="2:17">
      <c r="B155">
        <v>11802</v>
      </c>
      <c r="C155" t="s">
        <v>281</v>
      </c>
      <c r="D155" t="s">
        <v>284</v>
      </c>
      <c r="E155" s="7" t="s">
        <v>82</v>
      </c>
      <c r="F155">
        <f t="shared" si="16"/>
        <v>11801</v>
      </c>
      <c r="G155" s="11" t="str">
        <f t="shared" si="17"/>
        <v>1,1,2000</v>
      </c>
      <c r="H155">
        <v>3</v>
      </c>
      <c r="I155">
        <v>2</v>
      </c>
      <c r="J155">
        <f t="shared" si="18"/>
        <v>2</v>
      </c>
      <c r="M155">
        <v>0</v>
      </c>
      <c r="N155"/>
      <c r="P155" s="9" t="s">
        <v>283</v>
      </c>
      <c r="Q155" s="7">
        <f t="shared" si="19"/>
        <v>2000</v>
      </c>
    </row>
    <row r="156" ht="16.5" customHeight="1" spans="2:17">
      <c r="B156">
        <v>11803</v>
      </c>
      <c r="C156" t="s">
        <v>281</v>
      </c>
      <c r="D156" t="s">
        <v>285</v>
      </c>
      <c r="E156" s="7" t="s">
        <v>82</v>
      </c>
      <c r="F156">
        <f t="shared" si="16"/>
        <v>11801</v>
      </c>
      <c r="G156" s="11" t="str">
        <f t="shared" si="17"/>
        <v>1,1,4000</v>
      </c>
      <c r="H156">
        <v>3</v>
      </c>
      <c r="I156">
        <v>3</v>
      </c>
      <c r="J156">
        <f t="shared" si="18"/>
        <v>3</v>
      </c>
      <c r="M156">
        <v>0</v>
      </c>
      <c r="N156"/>
      <c r="P156" s="9" t="s">
        <v>283</v>
      </c>
      <c r="Q156" s="7">
        <f t="shared" si="19"/>
        <v>4000</v>
      </c>
    </row>
    <row r="157" ht="16.5" customHeight="1" spans="2:17">
      <c r="B157">
        <v>11804</v>
      </c>
      <c r="C157" t="s">
        <v>281</v>
      </c>
      <c r="D157" t="s">
        <v>286</v>
      </c>
      <c r="E157" s="7" t="s">
        <v>82</v>
      </c>
      <c r="F157">
        <f t="shared" si="16"/>
        <v>11801</v>
      </c>
      <c r="G157" s="11" t="str">
        <f t="shared" si="17"/>
        <v>1,1,8000</v>
      </c>
      <c r="H157">
        <v>3</v>
      </c>
      <c r="I157">
        <v>4</v>
      </c>
      <c r="J157">
        <f t="shared" si="18"/>
        <v>4</v>
      </c>
      <c r="M157">
        <v>0</v>
      </c>
      <c r="N157"/>
      <c r="P157" s="9" t="s">
        <v>283</v>
      </c>
      <c r="Q157" s="7">
        <f t="shared" si="19"/>
        <v>8000</v>
      </c>
    </row>
    <row r="158" ht="16.5" customHeight="1" spans="2:17">
      <c r="B158">
        <v>11805</v>
      </c>
      <c r="C158" t="s">
        <v>281</v>
      </c>
      <c r="D158" t="s">
        <v>287</v>
      </c>
      <c r="E158" s="7" t="s">
        <v>82</v>
      </c>
      <c r="F158">
        <f t="shared" si="16"/>
        <v>11801</v>
      </c>
      <c r="G158" s="11" t="str">
        <f t="shared" si="17"/>
        <v>1,1,16000</v>
      </c>
      <c r="H158">
        <v>3</v>
      </c>
      <c r="I158">
        <v>5</v>
      </c>
      <c r="J158">
        <f t="shared" si="18"/>
        <v>5</v>
      </c>
      <c r="M158">
        <v>0</v>
      </c>
      <c r="N158"/>
      <c r="P158" s="9" t="s">
        <v>283</v>
      </c>
      <c r="Q158" s="7">
        <f t="shared" si="19"/>
        <v>16000</v>
      </c>
    </row>
    <row r="159" ht="16.5" customHeight="1" spans="2:17">
      <c r="B159">
        <v>11806</v>
      </c>
      <c r="C159" t="s">
        <v>281</v>
      </c>
      <c r="D159" t="s">
        <v>288</v>
      </c>
      <c r="E159" s="7" t="s">
        <v>82</v>
      </c>
      <c r="F159">
        <f t="shared" si="16"/>
        <v>11801</v>
      </c>
      <c r="G159" s="11" t="str">
        <f t="shared" si="17"/>
        <v>1,1,32000</v>
      </c>
      <c r="H159">
        <v>3</v>
      </c>
      <c r="I159">
        <v>6</v>
      </c>
      <c r="J159">
        <f t="shared" si="18"/>
        <v>6</v>
      </c>
      <c r="M159">
        <v>0</v>
      </c>
      <c r="N159"/>
      <c r="P159" s="9" t="s">
        <v>283</v>
      </c>
      <c r="Q159" s="7">
        <f t="shared" si="19"/>
        <v>32000</v>
      </c>
    </row>
    <row r="160" ht="16.5" customHeight="1" spans="2:17">
      <c r="B160">
        <v>11807</v>
      </c>
      <c r="C160" t="s">
        <v>281</v>
      </c>
      <c r="D160" t="s">
        <v>289</v>
      </c>
      <c r="E160" s="7" t="s">
        <v>82</v>
      </c>
      <c r="F160">
        <f t="shared" si="16"/>
        <v>11801</v>
      </c>
      <c r="G160" s="11" t="str">
        <f t="shared" si="17"/>
        <v>1,1011,1</v>
      </c>
      <c r="H160">
        <v>3</v>
      </c>
      <c r="I160">
        <v>7</v>
      </c>
      <c r="J160">
        <f t="shared" si="18"/>
        <v>7</v>
      </c>
      <c r="M160">
        <v>0</v>
      </c>
      <c r="N160"/>
      <c r="P160" s="9" t="s">
        <v>283</v>
      </c>
      <c r="Q160" s="7">
        <f t="shared" si="19"/>
        <v>64000</v>
      </c>
    </row>
    <row r="161" ht="16.5" customHeight="1" spans="2:17">
      <c r="B161">
        <v>11808</v>
      </c>
      <c r="C161" t="s">
        <v>290</v>
      </c>
      <c r="D161" t="s">
        <v>291</v>
      </c>
      <c r="E161" s="7" t="s">
        <v>82</v>
      </c>
      <c r="F161">
        <f t="shared" si="16"/>
        <v>11801</v>
      </c>
      <c r="G161" s="11" t="str">
        <f t="shared" si="17"/>
        <v>1,1011,6</v>
      </c>
      <c r="H161">
        <v>3</v>
      </c>
      <c r="I161">
        <v>7</v>
      </c>
      <c r="J161">
        <f t="shared" si="18"/>
        <v>8</v>
      </c>
      <c r="M161">
        <v>0</v>
      </c>
      <c r="N161"/>
      <c r="P161" s="9" t="s">
        <v>283</v>
      </c>
      <c r="Q161" s="7">
        <f t="shared" si="19"/>
        <v>128000</v>
      </c>
    </row>
    <row r="162" ht="16.5" customHeight="1" spans="2:17">
      <c r="B162">
        <v>11901</v>
      </c>
      <c r="C162" t="s">
        <v>292</v>
      </c>
      <c r="D162" t="s">
        <v>293</v>
      </c>
      <c r="E162" s="7" t="s">
        <v>82</v>
      </c>
      <c r="F162">
        <f t="shared" si="16"/>
        <v>11901</v>
      </c>
      <c r="G162" s="11" t="str">
        <f t="shared" si="17"/>
        <v>1,1,1000</v>
      </c>
      <c r="H162">
        <v>3</v>
      </c>
      <c r="I162">
        <v>1</v>
      </c>
      <c r="J162">
        <f t="shared" si="18"/>
        <v>1</v>
      </c>
      <c r="M162">
        <v>0</v>
      </c>
      <c r="N162"/>
      <c r="P162" s="9" t="s">
        <v>294</v>
      </c>
      <c r="Q162" s="7">
        <f t="shared" si="19"/>
        <v>1000</v>
      </c>
    </row>
    <row r="163" ht="16.5" customHeight="1" spans="2:17">
      <c r="B163">
        <v>11902</v>
      </c>
      <c r="C163" t="s">
        <v>292</v>
      </c>
      <c r="D163" t="s">
        <v>295</v>
      </c>
      <c r="E163" s="7" t="s">
        <v>82</v>
      </c>
      <c r="F163">
        <f t="shared" si="16"/>
        <v>11901</v>
      </c>
      <c r="G163" s="11" t="str">
        <f t="shared" si="17"/>
        <v>1,1,2000</v>
      </c>
      <c r="H163">
        <v>3</v>
      </c>
      <c r="I163">
        <v>2</v>
      </c>
      <c r="J163">
        <f t="shared" si="18"/>
        <v>2</v>
      </c>
      <c r="M163">
        <v>0</v>
      </c>
      <c r="N163"/>
      <c r="P163" s="9" t="s">
        <v>294</v>
      </c>
      <c r="Q163" s="7">
        <f t="shared" si="19"/>
        <v>2000</v>
      </c>
    </row>
    <row r="164" ht="16.5" customHeight="1" spans="2:17">
      <c r="B164">
        <v>11903</v>
      </c>
      <c r="C164" t="s">
        <v>292</v>
      </c>
      <c r="D164" t="s">
        <v>296</v>
      </c>
      <c r="E164" s="7" t="s">
        <v>82</v>
      </c>
      <c r="F164">
        <f t="shared" si="16"/>
        <v>11901</v>
      </c>
      <c r="G164" s="11" t="str">
        <f t="shared" si="17"/>
        <v>1,1,4000</v>
      </c>
      <c r="H164">
        <v>3</v>
      </c>
      <c r="I164">
        <v>3</v>
      </c>
      <c r="J164">
        <f t="shared" si="18"/>
        <v>3</v>
      </c>
      <c r="M164">
        <v>0</v>
      </c>
      <c r="N164"/>
      <c r="P164" s="9" t="s">
        <v>294</v>
      </c>
      <c r="Q164" s="7">
        <f t="shared" si="19"/>
        <v>4000</v>
      </c>
    </row>
    <row r="165" ht="16.5" customHeight="1" spans="2:17">
      <c r="B165">
        <v>11904</v>
      </c>
      <c r="C165" t="s">
        <v>292</v>
      </c>
      <c r="D165" t="s">
        <v>297</v>
      </c>
      <c r="E165" s="7" t="s">
        <v>82</v>
      </c>
      <c r="F165">
        <f t="shared" si="16"/>
        <v>11901</v>
      </c>
      <c r="G165" s="11" t="str">
        <f t="shared" si="17"/>
        <v>1,1,8000</v>
      </c>
      <c r="H165">
        <v>3</v>
      </c>
      <c r="I165">
        <v>4</v>
      </c>
      <c r="J165">
        <f t="shared" si="18"/>
        <v>4</v>
      </c>
      <c r="M165">
        <v>0</v>
      </c>
      <c r="N165"/>
      <c r="P165" s="9" t="s">
        <v>294</v>
      </c>
      <c r="Q165" s="7">
        <f t="shared" si="19"/>
        <v>8000</v>
      </c>
    </row>
    <row r="166" ht="16.5" customHeight="1" spans="2:17">
      <c r="B166">
        <v>11905</v>
      </c>
      <c r="C166" t="s">
        <v>292</v>
      </c>
      <c r="D166" t="s">
        <v>298</v>
      </c>
      <c r="E166" s="7" t="s">
        <v>82</v>
      </c>
      <c r="F166">
        <f t="shared" si="16"/>
        <v>11901</v>
      </c>
      <c r="G166" s="11" t="str">
        <f t="shared" si="17"/>
        <v>1,1,16000</v>
      </c>
      <c r="H166">
        <v>3</v>
      </c>
      <c r="I166">
        <v>5</v>
      </c>
      <c r="J166">
        <f t="shared" si="18"/>
        <v>5</v>
      </c>
      <c r="M166">
        <v>0</v>
      </c>
      <c r="N166"/>
      <c r="P166" s="9" t="s">
        <v>294</v>
      </c>
      <c r="Q166" s="7">
        <f t="shared" si="19"/>
        <v>16000</v>
      </c>
    </row>
    <row r="167" ht="16.5" customHeight="1" spans="2:17">
      <c r="B167">
        <v>11906</v>
      </c>
      <c r="C167" t="s">
        <v>292</v>
      </c>
      <c r="D167" t="s">
        <v>299</v>
      </c>
      <c r="E167" s="7" t="s">
        <v>82</v>
      </c>
      <c r="F167">
        <f t="shared" si="16"/>
        <v>11901</v>
      </c>
      <c r="G167" s="11" t="str">
        <f t="shared" si="17"/>
        <v>1,1,32000</v>
      </c>
      <c r="H167">
        <v>3</v>
      </c>
      <c r="I167">
        <v>6</v>
      </c>
      <c r="J167">
        <f t="shared" si="18"/>
        <v>6</v>
      </c>
      <c r="M167">
        <v>0</v>
      </c>
      <c r="N167"/>
      <c r="P167" s="9" t="s">
        <v>294</v>
      </c>
      <c r="Q167" s="7">
        <f t="shared" si="19"/>
        <v>32000</v>
      </c>
    </row>
    <row r="168" ht="16.5" customHeight="1" spans="2:17">
      <c r="B168">
        <v>11907</v>
      </c>
      <c r="C168" t="s">
        <v>292</v>
      </c>
      <c r="D168" t="s">
        <v>300</v>
      </c>
      <c r="E168" s="7" t="s">
        <v>82</v>
      </c>
      <c r="F168">
        <f t="shared" si="16"/>
        <v>11901</v>
      </c>
      <c r="G168" s="11" t="str">
        <f t="shared" si="17"/>
        <v>1,1011,1</v>
      </c>
      <c r="H168">
        <v>3</v>
      </c>
      <c r="I168">
        <v>7</v>
      </c>
      <c r="J168">
        <f t="shared" si="18"/>
        <v>7</v>
      </c>
      <c r="M168">
        <v>0</v>
      </c>
      <c r="N168"/>
      <c r="P168" s="9" t="s">
        <v>294</v>
      </c>
      <c r="Q168" s="7">
        <f t="shared" si="19"/>
        <v>64000</v>
      </c>
    </row>
    <row r="169" ht="16.5" customHeight="1" spans="2:17">
      <c r="B169">
        <v>11908</v>
      </c>
      <c r="C169" t="s">
        <v>301</v>
      </c>
      <c r="D169" t="s">
        <v>302</v>
      </c>
      <c r="E169" s="7" t="s">
        <v>82</v>
      </c>
      <c r="F169">
        <f t="shared" si="16"/>
        <v>11901</v>
      </c>
      <c r="G169" s="11" t="str">
        <f t="shared" si="17"/>
        <v>1,1011,6</v>
      </c>
      <c r="H169">
        <v>3</v>
      </c>
      <c r="I169">
        <v>7</v>
      </c>
      <c r="J169">
        <f t="shared" si="18"/>
        <v>8</v>
      </c>
      <c r="M169">
        <v>0</v>
      </c>
      <c r="N169"/>
      <c r="P169" s="9" t="s">
        <v>294</v>
      </c>
      <c r="Q169" s="7">
        <f t="shared" si="19"/>
        <v>128000</v>
      </c>
    </row>
    <row r="170" ht="16.5" customHeight="1" spans="2:17">
      <c r="B170">
        <v>12001</v>
      </c>
      <c r="C170" t="s">
        <v>303</v>
      </c>
      <c r="D170" t="s">
        <v>304</v>
      </c>
      <c r="E170" s="7" t="s">
        <v>82</v>
      </c>
      <c r="F170">
        <f t="shared" si="16"/>
        <v>12001</v>
      </c>
      <c r="G170" s="11" t="str">
        <f t="shared" si="17"/>
        <v>1,1,1000</v>
      </c>
      <c r="H170">
        <v>3</v>
      </c>
      <c r="I170">
        <v>1</v>
      </c>
      <c r="J170">
        <f t="shared" ref="J170:J177" si="20">J162</f>
        <v>1</v>
      </c>
      <c r="M170">
        <v>0</v>
      </c>
      <c r="N170">
        <v>12001</v>
      </c>
      <c r="P170" s="7"/>
      <c r="Q170" s="7">
        <f t="shared" ref="Q170:Q177" si="21">Q162</f>
        <v>1000</v>
      </c>
    </row>
    <row r="171" ht="16.5" customHeight="1" spans="2:17">
      <c r="B171">
        <v>12002</v>
      </c>
      <c r="C171" t="s">
        <v>303</v>
      </c>
      <c r="D171" t="s">
        <v>305</v>
      </c>
      <c r="E171" s="7" t="s">
        <v>82</v>
      </c>
      <c r="F171">
        <f t="shared" si="16"/>
        <v>12001</v>
      </c>
      <c r="G171" s="11" t="str">
        <f t="shared" si="17"/>
        <v>1,1,2000</v>
      </c>
      <c r="H171">
        <v>3</v>
      </c>
      <c r="I171">
        <v>2</v>
      </c>
      <c r="J171">
        <f t="shared" si="20"/>
        <v>2</v>
      </c>
      <c r="M171">
        <v>0</v>
      </c>
      <c r="N171">
        <v>12002</v>
      </c>
      <c r="P171" s="7"/>
      <c r="Q171" s="7">
        <f t="shared" si="21"/>
        <v>2000</v>
      </c>
    </row>
    <row r="172" ht="16.5" customHeight="1" spans="2:17">
      <c r="B172">
        <v>12003</v>
      </c>
      <c r="C172" t="s">
        <v>303</v>
      </c>
      <c r="D172" t="s">
        <v>306</v>
      </c>
      <c r="E172" s="7" t="s">
        <v>82</v>
      </c>
      <c r="F172">
        <f t="shared" si="16"/>
        <v>12001</v>
      </c>
      <c r="G172" s="11" t="str">
        <f t="shared" si="17"/>
        <v>1,1,4000</v>
      </c>
      <c r="H172">
        <v>3</v>
      </c>
      <c r="I172">
        <v>3</v>
      </c>
      <c r="J172">
        <f t="shared" si="20"/>
        <v>3</v>
      </c>
      <c r="M172">
        <v>0</v>
      </c>
      <c r="N172">
        <v>12003</v>
      </c>
      <c r="P172" s="7"/>
      <c r="Q172" s="7">
        <f t="shared" si="21"/>
        <v>4000</v>
      </c>
    </row>
    <row r="173" ht="16.5" customHeight="1" spans="2:17">
      <c r="B173">
        <v>12004</v>
      </c>
      <c r="C173" t="s">
        <v>303</v>
      </c>
      <c r="D173" t="s">
        <v>307</v>
      </c>
      <c r="E173" s="7" t="s">
        <v>82</v>
      </c>
      <c r="F173">
        <f t="shared" si="16"/>
        <v>12001</v>
      </c>
      <c r="G173" s="11" t="str">
        <f t="shared" si="17"/>
        <v>1,1,8000</v>
      </c>
      <c r="H173">
        <v>3</v>
      </c>
      <c r="I173">
        <v>4</v>
      </c>
      <c r="J173">
        <f t="shared" si="20"/>
        <v>4</v>
      </c>
      <c r="M173">
        <v>0</v>
      </c>
      <c r="N173">
        <v>12004</v>
      </c>
      <c r="P173" s="7"/>
      <c r="Q173" s="7">
        <f t="shared" si="21"/>
        <v>8000</v>
      </c>
    </row>
    <row r="174" ht="16.5" customHeight="1" spans="2:17">
      <c r="B174">
        <v>12005</v>
      </c>
      <c r="C174" t="s">
        <v>303</v>
      </c>
      <c r="D174" t="s">
        <v>308</v>
      </c>
      <c r="E174" s="7" t="s">
        <v>82</v>
      </c>
      <c r="F174">
        <f t="shared" si="16"/>
        <v>12001</v>
      </c>
      <c r="G174" s="11" t="str">
        <f t="shared" si="17"/>
        <v>1,1,16000</v>
      </c>
      <c r="H174">
        <v>3</v>
      </c>
      <c r="I174">
        <v>5</v>
      </c>
      <c r="J174">
        <f t="shared" si="20"/>
        <v>5</v>
      </c>
      <c r="M174">
        <v>0</v>
      </c>
      <c r="N174">
        <v>12005</v>
      </c>
      <c r="P174" s="7"/>
      <c r="Q174" s="7">
        <f t="shared" si="21"/>
        <v>16000</v>
      </c>
    </row>
    <row r="175" ht="16.5" customHeight="1" spans="2:17">
      <c r="B175">
        <v>12006</v>
      </c>
      <c r="C175" t="s">
        <v>303</v>
      </c>
      <c r="D175" t="s">
        <v>309</v>
      </c>
      <c r="E175" s="7" t="s">
        <v>82</v>
      </c>
      <c r="F175">
        <f t="shared" si="16"/>
        <v>12001</v>
      </c>
      <c r="G175" s="11" t="str">
        <f t="shared" si="17"/>
        <v>1,1,32000</v>
      </c>
      <c r="H175">
        <v>3</v>
      </c>
      <c r="I175">
        <v>6</v>
      </c>
      <c r="J175">
        <f t="shared" si="20"/>
        <v>6</v>
      </c>
      <c r="M175">
        <v>0</v>
      </c>
      <c r="N175">
        <v>12006</v>
      </c>
      <c r="P175" s="7"/>
      <c r="Q175" s="7">
        <f t="shared" si="21"/>
        <v>32000</v>
      </c>
    </row>
    <row r="176" ht="16.5" customHeight="1" spans="2:17">
      <c r="B176">
        <v>12007</v>
      </c>
      <c r="C176" t="s">
        <v>303</v>
      </c>
      <c r="D176" t="s">
        <v>310</v>
      </c>
      <c r="E176" s="7" t="s">
        <v>82</v>
      </c>
      <c r="F176">
        <f t="shared" si="16"/>
        <v>12001</v>
      </c>
      <c r="G176" s="11" t="str">
        <f t="shared" si="17"/>
        <v>1,1011,1</v>
      </c>
      <c r="H176">
        <v>3</v>
      </c>
      <c r="I176">
        <v>7</v>
      </c>
      <c r="J176">
        <f t="shared" si="20"/>
        <v>7</v>
      </c>
      <c r="M176">
        <v>0</v>
      </c>
      <c r="N176">
        <v>12007</v>
      </c>
      <c r="P176" s="7"/>
      <c r="Q176" s="7">
        <f t="shared" si="21"/>
        <v>64000</v>
      </c>
    </row>
    <row r="177" ht="16.5" customHeight="1" spans="2:17">
      <c r="B177">
        <v>12008</v>
      </c>
      <c r="C177" t="s">
        <v>311</v>
      </c>
      <c r="D177" t="s">
        <v>312</v>
      </c>
      <c r="E177" s="7" t="s">
        <v>82</v>
      </c>
      <c r="F177">
        <f t="shared" si="16"/>
        <v>12001</v>
      </c>
      <c r="G177" s="11" t="str">
        <f t="shared" si="17"/>
        <v>1,1011,6</v>
      </c>
      <c r="H177">
        <v>3</v>
      </c>
      <c r="I177">
        <v>7</v>
      </c>
      <c r="J177">
        <f t="shared" si="20"/>
        <v>8</v>
      </c>
      <c r="M177">
        <v>0</v>
      </c>
      <c r="N177">
        <v>12008</v>
      </c>
      <c r="P177" s="7"/>
      <c r="Q177" s="7">
        <f t="shared" si="21"/>
        <v>128000</v>
      </c>
    </row>
    <row r="178" ht="16.5" customHeight="1" spans="2:17">
      <c r="B178">
        <v>15001</v>
      </c>
      <c r="C178" t="s">
        <v>313</v>
      </c>
      <c r="D178" t="s">
        <v>314</v>
      </c>
      <c r="E178" s="7" t="s">
        <v>82</v>
      </c>
      <c r="F178">
        <f t="shared" si="16"/>
        <v>12101</v>
      </c>
      <c r="G178" s="12" t="s">
        <v>315</v>
      </c>
      <c r="H178">
        <v>3</v>
      </c>
      <c r="I178">
        <v>7</v>
      </c>
      <c r="J178">
        <v>8</v>
      </c>
      <c r="M178">
        <v>0</v>
      </c>
      <c r="N178">
        <v>12006</v>
      </c>
      <c r="P178" s="7"/>
      <c r="Q178" s="7">
        <v>128000</v>
      </c>
    </row>
    <row r="179" ht="16.5" customHeight="1" spans="2:17">
      <c r="B179">
        <v>15101</v>
      </c>
      <c r="C179" t="s">
        <v>316</v>
      </c>
      <c r="D179" t="s">
        <v>317</v>
      </c>
      <c r="E179" s="7" t="s">
        <v>82</v>
      </c>
      <c r="F179">
        <v>12201</v>
      </c>
      <c r="G179" s="12" t="s">
        <v>315</v>
      </c>
      <c r="H179">
        <v>3</v>
      </c>
      <c r="I179">
        <v>7</v>
      </c>
      <c r="J179">
        <v>8</v>
      </c>
      <c r="M179">
        <v>0</v>
      </c>
      <c r="N179">
        <v>12007</v>
      </c>
      <c r="P179" s="7"/>
      <c r="Q179" s="7">
        <v>128000</v>
      </c>
    </row>
    <row r="180" ht="16.5" customHeight="1" spans="2:17">
      <c r="B180">
        <v>15201</v>
      </c>
      <c r="C180" t="s">
        <v>318</v>
      </c>
      <c r="D180" t="s">
        <v>319</v>
      </c>
      <c r="E180" s="7" t="s">
        <v>82</v>
      </c>
      <c r="F180">
        <v>12301</v>
      </c>
      <c r="G180" s="12" t="s">
        <v>315</v>
      </c>
      <c r="H180">
        <v>3</v>
      </c>
      <c r="I180">
        <v>7</v>
      </c>
      <c r="J180">
        <v>8</v>
      </c>
      <c r="M180">
        <v>0</v>
      </c>
      <c r="N180">
        <v>12008</v>
      </c>
      <c r="P180" s="7"/>
      <c r="Q180" s="7">
        <v>128000</v>
      </c>
    </row>
    <row r="181" ht="16.5" customHeight="1" spans="2:17">
      <c r="B181">
        <v>18001</v>
      </c>
      <c r="C181" s="7" t="s">
        <v>320</v>
      </c>
      <c r="D181" s="7" t="s">
        <v>321</v>
      </c>
      <c r="E181" s="7" t="s">
        <v>82</v>
      </c>
      <c r="F181">
        <v>18001</v>
      </c>
      <c r="G181" s="11" t="str">
        <f t="shared" ref="G181:G187" si="22">G170</f>
        <v>1,1,1000</v>
      </c>
      <c r="H181">
        <v>3</v>
      </c>
      <c r="I181">
        <v>5</v>
      </c>
      <c r="J181">
        <v>5</v>
      </c>
      <c r="M181">
        <v>0</v>
      </c>
      <c r="P181" s="7"/>
      <c r="Q181" s="7">
        <v>1000</v>
      </c>
    </row>
    <row r="182" ht="16.5" customHeight="1" spans="2:17">
      <c r="B182">
        <v>18002</v>
      </c>
      <c r="C182" s="7" t="s">
        <v>322</v>
      </c>
      <c r="D182" s="7" t="s">
        <v>323</v>
      </c>
      <c r="E182" s="7" t="s">
        <v>82</v>
      </c>
      <c r="F182">
        <v>18002</v>
      </c>
      <c r="G182" s="11" t="str">
        <f t="shared" si="22"/>
        <v>1,1,2000</v>
      </c>
      <c r="H182">
        <v>3</v>
      </c>
      <c r="I182">
        <v>5</v>
      </c>
      <c r="J182">
        <v>5</v>
      </c>
      <c r="M182">
        <v>0</v>
      </c>
      <c r="P182" s="7"/>
      <c r="Q182" s="7">
        <v>1000</v>
      </c>
    </row>
    <row r="183" ht="16.5" customHeight="1" spans="2:17">
      <c r="B183">
        <v>18003</v>
      </c>
      <c r="C183" s="7" t="s">
        <v>324</v>
      </c>
      <c r="D183" s="7" t="s">
        <v>325</v>
      </c>
      <c r="E183" s="7" t="s">
        <v>82</v>
      </c>
      <c r="F183">
        <v>18003</v>
      </c>
      <c r="G183" s="11" t="str">
        <f t="shared" si="22"/>
        <v>1,1,4000</v>
      </c>
      <c r="H183">
        <v>3</v>
      </c>
      <c r="I183">
        <v>5</v>
      </c>
      <c r="J183">
        <v>5</v>
      </c>
      <c r="M183">
        <v>0</v>
      </c>
      <c r="P183" s="7"/>
      <c r="Q183" s="7">
        <v>1000</v>
      </c>
    </row>
    <row r="184" ht="16.5" customHeight="1" spans="2:17">
      <c r="B184">
        <v>18004</v>
      </c>
      <c r="C184" s="7" t="s">
        <v>326</v>
      </c>
      <c r="D184" s="7" t="s">
        <v>327</v>
      </c>
      <c r="E184" s="7" t="s">
        <v>82</v>
      </c>
      <c r="F184">
        <v>18004</v>
      </c>
      <c r="G184" s="11" t="str">
        <f t="shared" si="22"/>
        <v>1,1,8000</v>
      </c>
      <c r="H184">
        <v>3</v>
      </c>
      <c r="I184">
        <v>5</v>
      </c>
      <c r="J184">
        <v>5</v>
      </c>
      <c r="M184">
        <v>0</v>
      </c>
      <c r="P184" s="7"/>
      <c r="Q184" s="7">
        <v>1000</v>
      </c>
    </row>
    <row r="185" ht="16.5" customHeight="1" spans="2:17">
      <c r="B185">
        <v>18005</v>
      </c>
      <c r="C185" s="7" t="s">
        <v>328</v>
      </c>
      <c r="D185" s="7" t="s">
        <v>329</v>
      </c>
      <c r="E185" s="7" t="s">
        <v>82</v>
      </c>
      <c r="F185">
        <v>18001</v>
      </c>
      <c r="G185" s="11" t="str">
        <f t="shared" si="22"/>
        <v>1,1,16000</v>
      </c>
      <c r="H185">
        <v>3</v>
      </c>
      <c r="I185">
        <v>5</v>
      </c>
      <c r="J185">
        <v>5</v>
      </c>
      <c r="M185">
        <v>0</v>
      </c>
      <c r="P185" s="7"/>
      <c r="Q185" s="7">
        <v>1000</v>
      </c>
    </row>
    <row r="186" ht="16.5" customHeight="1" spans="2:17">
      <c r="B186">
        <v>18006</v>
      </c>
      <c r="C186" s="7" t="s">
        <v>139</v>
      </c>
      <c r="D186" s="7" t="s">
        <v>330</v>
      </c>
      <c r="E186" s="7" t="s">
        <v>82</v>
      </c>
      <c r="F186">
        <v>18002</v>
      </c>
      <c r="G186" s="11" t="str">
        <f t="shared" si="22"/>
        <v>1,1,32000</v>
      </c>
      <c r="H186">
        <v>3</v>
      </c>
      <c r="I186">
        <v>5</v>
      </c>
      <c r="J186">
        <v>5</v>
      </c>
      <c r="M186">
        <v>0</v>
      </c>
      <c r="P186" s="7"/>
      <c r="Q186" s="7">
        <v>1000</v>
      </c>
    </row>
    <row r="187" ht="16.5" customHeight="1" spans="2:17">
      <c r="B187">
        <v>18007</v>
      </c>
      <c r="C187" s="7" t="s">
        <v>331</v>
      </c>
      <c r="D187" s="7" t="s">
        <v>332</v>
      </c>
      <c r="E187" s="7" t="s">
        <v>82</v>
      </c>
      <c r="F187">
        <v>18003</v>
      </c>
      <c r="G187" s="11" t="str">
        <f t="shared" si="22"/>
        <v>1,1011,1</v>
      </c>
      <c r="H187">
        <v>3</v>
      </c>
      <c r="I187">
        <v>5</v>
      </c>
      <c r="J187">
        <v>5</v>
      </c>
      <c r="M187">
        <v>0</v>
      </c>
      <c r="P187" s="7"/>
      <c r="Q187" s="7">
        <v>1000</v>
      </c>
    </row>
    <row r="188" ht="16.5" customHeight="1" spans="2:17">
      <c r="B188">
        <v>18008</v>
      </c>
      <c r="C188" s="7" t="s">
        <v>333</v>
      </c>
      <c r="D188" s="7" t="s">
        <v>334</v>
      </c>
      <c r="E188" s="7" t="s">
        <v>82</v>
      </c>
      <c r="F188">
        <v>18004</v>
      </c>
      <c r="G188" s="11" t="str">
        <f t="shared" ref="G188" si="23">G181</f>
        <v>1,1,1000</v>
      </c>
      <c r="H188">
        <v>3</v>
      </c>
      <c r="I188">
        <v>5</v>
      </c>
      <c r="J188">
        <v>5</v>
      </c>
      <c r="M188">
        <v>0</v>
      </c>
      <c r="P188" s="7"/>
      <c r="Q188" s="7">
        <v>1000</v>
      </c>
    </row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H17" sqref="H17"/>
    </sheetView>
  </sheetViews>
  <sheetFormatPr defaultColWidth="9" defaultRowHeight="14" outlineLevelCol="3"/>
  <sheetData>
    <row r="1" spans="1:4">
      <c r="A1" s="2" t="s">
        <v>0</v>
      </c>
      <c r="B1" t="s">
        <v>1</v>
      </c>
      <c r="C1" s="7" t="s">
        <v>9</v>
      </c>
      <c r="D1" s="8" t="s">
        <v>10</v>
      </c>
    </row>
    <row r="2" spans="1:4">
      <c r="A2" s="2" t="s">
        <v>0</v>
      </c>
      <c r="D2" s="9"/>
    </row>
    <row r="3" spans="1:4">
      <c r="A3" s="5" t="s">
        <v>17</v>
      </c>
      <c r="B3" t="s">
        <v>18</v>
      </c>
      <c r="C3" t="s">
        <v>18</v>
      </c>
      <c r="D3" s="8" t="s">
        <v>23</v>
      </c>
    </row>
    <row r="4" spans="1:4">
      <c r="A4" s="5" t="s">
        <v>26</v>
      </c>
      <c r="D4" s="8"/>
    </row>
    <row r="5" spans="1:4">
      <c r="A5" s="2" t="s">
        <v>4</v>
      </c>
      <c r="B5" t="s">
        <v>1</v>
      </c>
      <c r="C5" s="7" t="s">
        <v>34</v>
      </c>
      <c r="D5" s="8" t="s">
        <v>35</v>
      </c>
    </row>
    <row r="6" spans="2:4">
      <c r="B6">
        <v>1</v>
      </c>
      <c r="C6">
        <v>4</v>
      </c>
      <c r="D6" s="8" t="s">
        <v>335</v>
      </c>
    </row>
    <row r="7" spans="2:4">
      <c r="B7">
        <v>2</v>
      </c>
      <c r="C7">
        <v>5</v>
      </c>
      <c r="D7" t="s">
        <v>336</v>
      </c>
    </row>
    <row r="8" spans="2:4">
      <c r="B8">
        <v>3</v>
      </c>
      <c r="C8">
        <v>6</v>
      </c>
      <c r="D8" t="s">
        <v>337</v>
      </c>
    </row>
    <row r="9" spans="2:4">
      <c r="B9">
        <v>4</v>
      </c>
      <c r="C9">
        <v>7</v>
      </c>
      <c r="D9" t="s">
        <v>338</v>
      </c>
    </row>
    <row r="10" spans="2:4">
      <c r="B10">
        <v>5</v>
      </c>
      <c r="C10">
        <v>8</v>
      </c>
      <c r="D10" s="7" t="s">
        <v>339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F25" sqref="F25"/>
    </sheetView>
  </sheetViews>
  <sheetFormatPr defaultColWidth="9" defaultRowHeight="14" outlineLevelCol="3"/>
  <cols>
    <col min="2" max="2" width="11.0636363636364" style="1" customWidth="1"/>
    <col min="3" max="3" width="13.0636363636364" style="1" customWidth="1"/>
    <col min="4" max="4" width="11.0636363636364" style="1" customWidth="1"/>
  </cols>
  <sheetData>
    <row r="1" spans="1:4">
      <c r="A1" s="2" t="s">
        <v>0</v>
      </c>
      <c r="B1" s="1" t="s">
        <v>1</v>
      </c>
      <c r="C1" s="3" t="s">
        <v>340</v>
      </c>
      <c r="D1" s="4" t="s">
        <v>341</v>
      </c>
    </row>
    <row r="2" spans="1:4">
      <c r="A2" s="2" t="s">
        <v>0</v>
      </c>
      <c r="C2" s="3"/>
      <c r="D2" s="4"/>
    </row>
    <row r="3" spans="1:4">
      <c r="A3" s="5" t="s">
        <v>17</v>
      </c>
      <c r="B3" s="1" t="s">
        <v>18</v>
      </c>
      <c r="C3" s="4" t="s">
        <v>20</v>
      </c>
      <c r="D3" s="4" t="s">
        <v>18</v>
      </c>
    </row>
    <row r="4" spans="1:4">
      <c r="A4" s="5" t="s">
        <v>26</v>
      </c>
      <c r="C4" s="3"/>
      <c r="D4" s="3"/>
    </row>
    <row r="5" spans="1:4">
      <c r="A5" s="2" t="s">
        <v>4</v>
      </c>
      <c r="B5" s="4" t="s">
        <v>342</v>
      </c>
      <c r="C5" s="3" t="s">
        <v>343</v>
      </c>
      <c r="D5" s="4" t="s">
        <v>344</v>
      </c>
    </row>
    <row r="6" spans="2:4">
      <c r="B6" s="1">
        <v>10007</v>
      </c>
      <c r="C6" s="6" t="s">
        <v>345</v>
      </c>
      <c r="D6" s="1">
        <f>B6+1</f>
        <v>10008</v>
      </c>
    </row>
    <row r="7" spans="2:4">
      <c r="B7" s="1">
        <f>B6+100</f>
        <v>10107</v>
      </c>
      <c r="C7" s="6" t="s">
        <v>345</v>
      </c>
      <c r="D7" s="1">
        <f t="shared" ref="D7:D26" si="0">B7+1</f>
        <v>10108</v>
      </c>
    </row>
    <row r="8" spans="2:4">
      <c r="B8" s="1">
        <f t="shared" ref="B8:B26" si="1">B7+100</f>
        <v>10207</v>
      </c>
      <c r="C8" s="6" t="s">
        <v>345</v>
      </c>
      <c r="D8" s="1">
        <f t="shared" si="0"/>
        <v>10208</v>
      </c>
    </row>
    <row r="9" spans="2:4">
      <c r="B9" s="1">
        <f t="shared" si="1"/>
        <v>10307</v>
      </c>
      <c r="C9" s="6" t="s">
        <v>345</v>
      </c>
      <c r="D9" s="1">
        <f t="shared" si="0"/>
        <v>10308</v>
      </c>
    </row>
    <row r="10" spans="2:4">
      <c r="B10" s="1">
        <f t="shared" si="1"/>
        <v>10407</v>
      </c>
      <c r="C10" s="6" t="s">
        <v>345</v>
      </c>
      <c r="D10" s="1">
        <f t="shared" si="0"/>
        <v>10408</v>
      </c>
    </row>
    <row r="11" spans="2:4">
      <c r="B11" s="1">
        <f t="shared" si="1"/>
        <v>10507</v>
      </c>
      <c r="C11" s="6" t="s">
        <v>345</v>
      </c>
      <c r="D11" s="1">
        <f t="shared" si="0"/>
        <v>10508</v>
      </c>
    </row>
    <row r="12" spans="2:4">
      <c r="B12" s="1">
        <f t="shared" si="1"/>
        <v>10607</v>
      </c>
      <c r="C12" s="6" t="s">
        <v>345</v>
      </c>
      <c r="D12" s="1">
        <f t="shared" si="0"/>
        <v>10608</v>
      </c>
    </row>
    <row r="13" spans="2:4">
      <c r="B13" s="1">
        <f t="shared" si="1"/>
        <v>10707</v>
      </c>
      <c r="C13" s="6" t="s">
        <v>345</v>
      </c>
      <c r="D13" s="1">
        <f t="shared" si="0"/>
        <v>10708</v>
      </c>
    </row>
    <row r="14" spans="2:4">
      <c r="B14" s="1">
        <f t="shared" si="1"/>
        <v>10807</v>
      </c>
      <c r="C14" s="6" t="s">
        <v>345</v>
      </c>
      <c r="D14" s="1">
        <f t="shared" si="0"/>
        <v>10808</v>
      </c>
    </row>
    <row r="15" spans="2:4">
      <c r="B15" s="1">
        <f t="shared" si="1"/>
        <v>10907</v>
      </c>
      <c r="C15" s="6" t="s">
        <v>345</v>
      </c>
      <c r="D15" s="1">
        <f t="shared" si="0"/>
        <v>10908</v>
      </c>
    </row>
    <row r="16" spans="2:4">
      <c r="B16" s="1">
        <f t="shared" si="1"/>
        <v>11007</v>
      </c>
      <c r="C16" s="6" t="s">
        <v>345</v>
      </c>
      <c r="D16" s="1">
        <f t="shared" si="0"/>
        <v>11008</v>
      </c>
    </row>
    <row r="17" spans="2:4">
      <c r="B17" s="1">
        <f t="shared" si="1"/>
        <v>11107</v>
      </c>
      <c r="C17" s="6" t="s">
        <v>345</v>
      </c>
      <c r="D17" s="1">
        <f t="shared" si="0"/>
        <v>11108</v>
      </c>
    </row>
    <row r="18" spans="2:4">
      <c r="B18" s="1">
        <f t="shared" si="1"/>
        <v>11207</v>
      </c>
      <c r="C18" s="6" t="s">
        <v>345</v>
      </c>
      <c r="D18" s="1">
        <f t="shared" si="0"/>
        <v>11208</v>
      </c>
    </row>
    <row r="19" spans="2:4">
      <c r="B19" s="1">
        <f t="shared" si="1"/>
        <v>11307</v>
      </c>
      <c r="C19" s="6" t="s">
        <v>345</v>
      </c>
      <c r="D19" s="1">
        <f t="shared" si="0"/>
        <v>11308</v>
      </c>
    </row>
    <row r="20" spans="2:4">
      <c r="B20" s="1">
        <f t="shared" si="1"/>
        <v>11407</v>
      </c>
      <c r="C20" s="6" t="s">
        <v>345</v>
      </c>
      <c r="D20" s="1">
        <f t="shared" si="0"/>
        <v>11408</v>
      </c>
    </row>
    <row r="21" spans="2:4">
      <c r="B21" s="1">
        <f t="shared" si="1"/>
        <v>11507</v>
      </c>
      <c r="C21" s="6" t="s">
        <v>345</v>
      </c>
      <c r="D21" s="1">
        <f t="shared" si="0"/>
        <v>11508</v>
      </c>
    </row>
    <row r="22" spans="2:4">
      <c r="B22" s="1">
        <f t="shared" si="1"/>
        <v>11607</v>
      </c>
      <c r="C22" s="6" t="s">
        <v>345</v>
      </c>
      <c r="D22" s="1">
        <f t="shared" si="0"/>
        <v>11608</v>
      </c>
    </row>
    <row r="23" spans="2:4">
      <c r="B23" s="1">
        <f t="shared" si="1"/>
        <v>11707</v>
      </c>
      <c r="C23" s="6" t="s">
        <v>345</v>
      </c>
      <c r="D23" s="1">
        <f t="shared" si="0"/>
        <v>11708</v>
      </c>
    </row>
    <row r="24" spans="2:4">
      <c r="B24" s="1">
        <f t="shared" si="1"/>
        <v>11807</v>
      </c>
      <c r="C24" s="6" t="s">
        <v>345</v>
      </c>
      <c r="D24" s="1">
        <f t="shared" si="0"/>
        <v>11808</v>
      </c>
    </row>
    <row r="25" spans="2:4">
      <c r="B25" s="1">
        <f t="shared" si="1"/>
        <v>11907</v>
      </c>
      <c r="C25" s="6" t="s">
        <v>345</v>
      </c>
      <c r="D25" s="1">
        <f t="shared" si="0"/>
        <v>11908</v>
      </c>
    </row>
    <row r="26" spans="2:4">
      <c r="B26" s="1">
        <f t="shared" si="1"/>
        <v>12007</v>
      </c>
      <c r="C26" s="6" t="s">
        <v>345</v>
      </c>
      <c r="D26" s="1">
        <f t="shared" si="0"/>
        <v>12008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技能主表</vt:lpstr>
      <vt:lpstr>技能套装表</vt:lpstr>
      <vt:lpstr>技能升级表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Z-Ting</cp:lastModifiedBy>
  <dcterms:created xsi:type="dcterms:W3CDTF">2023-05-12T11:15:00Z</dcterms:created>
  <dcterms:modified xsi:type="dcterms:W3CDTF">2025-01-11T05:26:03Z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6C86DBBF58D441CCB3B12B6BBAAD3A6A_12</vt:lpwstr>
  </property>
</Properties>
</file>