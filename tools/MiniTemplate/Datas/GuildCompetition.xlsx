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E2FDD6DA-D61F-4E44-BAD7-F843944C9019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宗门对决主表" sheetId="1" r:id="rId1"/>
    <sheet name="宗门对决排行奖励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3" i="1" s="1"/>
  <c r="E16" i="1" s="1"/>
  <c r="E19" i="1" s="1"/>
  <c r="E22" i="1" s="1"/>
  <c r="E25" i="1" s="1"/>
  <c r="E11" i="1"/>
  <c r="E14" i="1" s="1"/>
  <c r="E17" i="1" s="1"/>
  <c r="E20" i="1" s="1"/>
  <c r="E23" i="1" s="1"/>
  <c r="E26" i="1" s="1"/>
  <c r="E12" i="1"/>
  <c r="E15" i="1"/>
  <c r="E18" i="1"/>
  <c r="E21" i="1"/>
  <c r="E24" i="1"/>
  <c r="E9" i="1"/>
  <c r="E8" i="1"/>
  <c r="E7" i="1"/>
</calcChain>
</file>

<file path=xl/sharedStrings.xml><?xml version="1.0" encoding="utf-8"?>
<sst xmlns="http://schemas.openxmlformats.org/spreadsheetml/2006/main" count="112" uniqueCount="79">
  <si>
    <t>##var</t>
  </si>
  <si>
    <t>id</t>
  </si>
  <si>
    <t>name</t>
  </si>
  <si>
    <t>icon</t>
  </si>
  <si>
    <t>##type</t>
  </si>
  <si>
    <t>int</t>
  </si>
  <si>
    <t>string</t>
  </si>
  <si>
    <t>(list#sep=;),int#ref=Reward.TbRewardDrop</t>
  </si>
  <si>
    <t>##group</t>
  </si>
  <si>
    <t>s</t>
  </si>
  <si>
    <t>##</t>
  </si>
  <si>
    <t>段位</t>
    <phoneticPr fontId="4" type="noConversion"/>
  </si>
  <si>
    <t>段位图标</t>
    <phoneticPr fontId="4" type="noConversion"/>
  </si>
  <si>
    <t>&lt;color=#18e71a&gt;青铜III&lt;/color&gt;</t>
  </si>
  <si>
    <t>&lt;color=#18e71a&gt;青铜II&lt;/color&gt;</t>
  </si>
  <si>
    <t>&lt;color=#18e71a&gt;青铜I&lt;/color&gt;</t>
  </si>
  <si>
    <t>&lt;color=#40f3ff&gt;白银III&lt;/color&gt;</t>
  </si>
  <si>
    <t>&lt;color=#40f3ff&gt;白银II&lt;/color&gt;</t>
  </si>
  <si>
    <t>&lt;color=#40f3ff&gt;白银I&lt;/color&gt;</t>
  </si>
  <si>
    <t>&lt;color=#f044dc&gt;黄金III&lt;/color&gt;</t>
  </si>
  <si>
    <t>&lt;color=#f044dc&gt;黄金II&lt;/color&gt;</t>
  </si>
  <si>
    <t>&lt;color=#f044dc&gt;黄金I&lt;/color&gt;</t>
  </si>
  <si>
    <t>&lt;color=#edde00&gt;铂金III&lt;/color&gt;</t>
  </si>
  <si>
    <t>&lt;color=#edde00&gt;铂金II&lt;/color&gt;</t>
  </si>
  <si>
    <t>&lt;color=#edde00&gt;铂金I&lt;/color&gt;</t>
  </si>
  <si>
    <t>&lt;color=#ff8000&gt;钻石III&lt;/color&gt;</t>
  </si>
  <si>
    <t>&lt;color=#ff8000&gt;钻石II&lt;/color&gt;</t>
  </si>
  <si>
    <t>&lt;color=#ff8000&gt;钻石I&lt;/color&gt;</t>
  </si>
  <si>
    <t>&lt;color=#ff4d4d&gt;星耀III&lt;/color&gt;</t>
  </si>
  <si>
    <t>&lt;color=#ff4d4d&gt;星耀II&lt;/color&gt;</t>
  </si>
  <si>
    <t>&lt;color=#ff4d4d&gt;星耀I&lt;/color&gt;</t>
  </si>
  <si>
    <t>&lt;color=#ff779d&gt;王者1&lt;/color&gt;</t>
  </si>
  <si>
    <t>&lt;color=#ff779d&gt;王者2&lt;/color&gt;</t>
  </si>
  <si>
    <t>&lt;color=#ff779d&gt;王者3&lt;/color&gt;</t>
  </si>
  <si>
    <t>Arena/icon_Duanwei_qingtong</t>
    <phoneticPr fontId="4" type="noConversion"/>
  </si>
  <si>
    <t>Arena/icon_Duanwei_baiyin</t>
    <phoneticPr fontId="4" type="noConversion"/>
  </si>
  <si>
    <t>Arena/icon_Duanwei_huangjin</t>
    <phoneticPr fontId="4" type="noConversion"/>
  </si>
  <si>
    <t>Arena/icon_Duanwei_bojin</t>
    <phoneticPr fontId="4" type="noConversion"/>
  </si>
  <si>
    <t>Arena/icon_Duanwei_zuanshi</t>
    <phoneticPr fontId="4" type="noConversion"/>
  </si>
  <si>
    <t>Arena/icon_Duanwei_xingyao</t>
    <phoneticPr fontId="4" type="noConversion"/>
  </si>
  <si>
    <t>Arena/icon_Duanwei_wangzhe</t>
    <phoneticPr fontId="4" type="noConversion"/>
  </si>
  <si>
    <t>nameRich</t>
    <phoneticPr fontId="4" type="noConversion"/>
  </si>
  <si>
    <t>青铜II</t>
  </si>
  <si>
    <t>青铜I</t>
  </si>
  <si>
    <t>白银III</t>
  </si>
  <si>
    <t>白银II</t>
  </si>
  <si>
    <t>白银I</t>
  </si>
  <si>
    <t>黄金III</t>
  </si>
  <si>
    <t>黄金II</t>
  </si>
  <si>
    <t>黄金I</t>
  </si>
  <si>
    <t>铂金III</t>
  </si>
  <si>
    <t>铂金II</t>
  </si>
  <si>
    <t>铂金I</t>
  </si>
  <si>
    <t>钻石III</t>
  </si>
  <si>
    <t>钻石II</t>
  </si>
  <si>
    <t>钻石I</t>
  </si>
  <si>
    <t>星耀I</t>
  </si>
  <si>
    <t>c</t>
    <phoneticPr fontId="4" type="noConversion"/>
  </si>
  <si>
    <t>青铜III</t>
    <phoneticPr fontId="4" type="noConversion"/>
  </si>
  <si>
    <t>星耀III</t>
    <phoneticPr fontId="4" type="noConversion"/>
  </si>
  <si>
    <t>王者III</t>
    <phoneticPr fontId="4" type="noConversion"/>
  </si>
  <si>
    <t>星耀II</t>
    <phoneticPr fontId="4" type="noConversion"/>
  </si>
  <si>
    <t>王者II</t>
    <phoneticPr fontId="4" type="noConversion"/>
  </si>
  <si>
    <t>王者I</t>
    <phoneticPr fontId="4" type="noConversion"/>
  </si>
  <si>
    <t>signDrop</t>
    <phoneticPr fontId="4" type="noConversion"/>
  </si>
  <si>
    <t>签到奖励</t>
    <phoneticPr fontId="4" type="noConversion"/>
  </si>
  <si>
    <t>rank</t>
  </si>
  <si>
    <t>伤害排名</t>
  </si>
  <si>
    <t>type</t>
    <phoneticPr fontId="6" type="noConversion"/>
  </si>
  <si>
    <t>int</t>
    <phoneticPr fontId="6" type="noConversion"/>
  </si>
  <si>
    <t>获胜还是失败</t>
    <phoneticPr fontId="6" type="noConversion"/>
  </si>
  <si>
    <t>reward</t>
    <phoneticPr fontId="4" type="noConversion"/>
  </si>
  <si>
    <t>(list#sep=;),Prop.PropObj</t>
  </si>
  <si>
    <t>奖励</t>
    <phoneticPr fontId="4" type="noConversion"/>
  </si>
  <si>
    <t>1,1040,1;1,1041,1</t>
    <phoneticPr fontId="4" type="noConversion"/>
  </si>
  <si>
    <t>1,1040,10;1,1041,10</t>
    <phoneticPr fontId="4" type="noConversion"/>
  </si>
  <si>
    <t>1,1040,7;1,1041,7</t>
    <phoneticPr fontId="4" type="noConversion"/>
  </si>
  <si>
    <t>1,1040,5;1,1041,5</t>
    <phoneticPr fontId="4" type="noConversion"/>
  </si>
  <si>
    <t>1,1040,2;1,1041,2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</si>
</sst>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" fillId="2" borderId="1" xfId="1" applyBorder="1" applyAlignment="1"/>
    <xf numFmtId="0" fontId="2" fillId="3" borderId="1" xfId="2" applyBorder="1" applyAlignment="1"/>
    <xf numFmtId="0" fontId="5" fillId="0" borderId="0" xfId="0" applyFont="1">
      <alignment vertical="center"/>
    </xf>
    <xf numFmtId="0" fontId="5" fillId="0" borderId="0" xfId="0" applyFont="1" applyAlignment="1">
      <alignment horizontal="left"/>
    </xf>
    <xf numFmtId="49" fontId="5" fillId="0" borderId="0" xfId="0" applyNumberFormat="1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left" wrapText="1"/>
    </xf>
    <xf numFmtId="0" fontId="3" fillId="0" borderId="0" xfId="0" applyFont="1" applyAlignment="1"/>
    <xf numFmtId="0" fontId="3" fillId="0" borderId="0" xfId="0" applyFont="1">
      <alignment vertical="center"/>
    </xf>
    <xf numFmtId="0" fontId="5" fillId="0" borderId="0" xfId="0" applyFont="1" applyAlignment="1">
      <alignment horizont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pane ySplit="5" topLeftCell="A6" activePane="bottomLeft" state="frozen"/>
      <selection pane="bottomLeft" activeCell="F30" sqref="F30"/>
    </sheetView>
  </sheetViews>
  <sheetFormatPr defaultColWidth="9" defaultRowHeight="13.5" x14ac:dyDescent="0.3"/>
  <cols>
    <col min="2" max="2" width="9.46484375" style="2" customWidth="1"/>
    <col min="3" max="4" width="12.265625" customWidth="1"/>
    <col min="5" max="5" width="15.265625" style="3" customWidth="1"/>
    <col min="6" max="6" width="42.265625" customWidth="1"/>
  </cols>
  <sheetData>
    <row r="1" spans="1:13" x14ac:dyDescent="0.3">
      <c r="A1" s="4" t="s">
        <v>0</v>
      </c>
      <c r="B1" s="2" t="s">
        <v>1</v>
      </c>
      <c r="C1" t="s">
        <v>2</v>
      </c>
      <c r="D1" s="6" t="s">
        <v>41</v>
      </c>
      <c r="E1" s="8" t="s">
        <v>64</v>
      </c>
      <c r="F1" t="s">
        <v>3</v>
      </c>
    </row>
    <row r="2" spans="1:13" x14ac:dyDescent="0.3">
      <c r="A2" s="4" t="s">
        <v>0</v>
      </c>
    </row>
    <row r="3" spans="1:13" x14ac:dyDescent="0.3">
      <c r="A3" s="5" t="s">
        <v>4</v>
      </c>
      <c r="B3" s="2" t="s">
        <v>5</v>
      </c>
      <c r="C3" t="s">
        <v>6</v>
      </c>
      <c r="D3" t="s">
        <v>6</v>
      </c>
      <c r="E3" t="s">
        <v>7</v>
      </c>
      <c r="F3" t="s">
        <v>6</v>
      </c>
    </row>
    <row r="4" spans="1:13" x14ac:dyDescent="0.3">
      <c r="A4" s="5" t="s">
        <v>8</v>
      </c>
      <c r="D4" s="6" t="s">
        <v>57</v>
      </c>
      <c r="E4" s="3" t="s">
        <v>9</v>
      </c>
    </row>
    <row r="5" spans="1:13" x14ac:dyDescent="0.3">
      <c r="A5" s="4" t="s">
        <v>10</v>
      </c>
      <c r="B5" s="2" t="s">
        <v>1</v>
      </c>
      <c r="C5" s="6" t="s">
        <v>11</v>
      </c>
      <c r="D5" s="6" t="s">
        <v>11</v>
      </c>
      <c r="E5" s="8" t="s">
        <v>65</v>
      </c>
      <c r="F5" s="6" t="s">
        <v>12</v>
      </c>
    </row>
    <row r="6" spans="1:13" s="1" customFormat="1" x14ac:dyDescent="0.3">
      <c r="B6" s="2">
        <v>1</v>
      </c>
      <c r="C6" s="7" t="s">
        <v>58</v>
      </c>
      <c r="D6" s="7" t="s">
        <v>13</v>
      </c>
      <c r="E6" s="13">
        <v>5020001</v>
      </c>
      <c r="F6" s="10" t="s">
        <v>34</v>
      </c>
      <c r="H6" s="12"/>
      <c r="I6" s="9"/>
      <c r="K6" s="12"/>
      <c r="M6" s="12"/>
    </row>
    <row r="7" spans="1:13" s="1" customFormat="1" x14ac:dyDescent="0.3">
      <c r="B7" s="2">
        <v>2</v>
      </c>
      <c r="C7" s="7" t="s">
        <v>42</v>
      </c>
      <c r="D7" s="7" t="s">
        <v>14</v>
      </c>
      <c r="E7" s="2">
        <f>E6</f>
        <v>5020001</v>
      </c>
      <c r="F7" s="10" t="s">
        <v>34</v>
      </c>
      <c r="G7" s="9"/>
      <c r="H7" s="12"/>
      <c r="I7" s="9"/>
      <c r="K7" s="12"/>
      <c r="M7" s="12"/>
    </row>
    <row r="8" spans="1:13" s="1" customFormat="1" x14ac:dyDescent="0.3">
      <c r="B8" s="2">
        <v>3</v>
      </c>
      <c r="C8" s="7" t="s">
        <v>43</v>
      </c>
      <c r="D8" s="7" t="s">
        <v>15</v>
      </c>
      <c r="E8" s="2">
        <f>E6</f>
        <v>5020001</v>
      </c>
      <c r="F8" s="10" t="s">
        <v>34</v>
      </c>
      <c r="G8" s="9"/>
      <c r="H8" s="12"/>
      <c r="I8" s="9"/>
      <c r="K8" s="12"/>
      <c r="M8" s="12"/>
    </row>
    <row r="9" spans="1:13" s="1" customFormat="1" x14ac:dyDescent="0.3">
      <c r="B9" s="2">
        <v>4</v>
      </c>
      <c r="C9" s="7" t="s">
        <v>44</v>
      </c>
      <c r="D9" s="7" t="s">
        <v>16</v>
      </c>
      <c r="E9" s="2">
        <f>E6+1</f>
        <v>5020002</v>
      </c>
      <c r="F9" s="10" t="s">
        <v>35</v>
      </c>
      <c r="G9" s="9"/>
      <c r="H9" s="12"/>
      <c r="I9" s="11"/>
      <c r="K9" s="12"/>
      <c r="M9" s="12"/>
    </row>
    <row r="10" spans="1:13" s="1" customFormat="1" x14ac:dyDescent="0.3">
      <c r="B10" s="2">
        <v>5</v>
      </c>
      <c r="C10" s="7" t="s">
        <v>45</v>
      </c>
      <c r="D10" s="7" t="s">
        <v>17</v>
      </c>
      <c r="E10" s="2">
        <f t="shared" ref="E10:E26" si="0">E7+1</f>
        <v>5020002</v>
      </c>
      <c r="F10" s="10" t="s">
        <v>35</v>
      </c>
      <c r="G10" s="9"/>
      <c r="H10" s="12"/>
      <c r="I10" s="11"/>
      <c r="K10" s="12"/>
      <c r="M10" s="12"/>
    </row>
    <row r="11" spans="1:13" s="1" customFormat="1" x14ac:dyDescent="0.3">
      <c r="B11" s="2">
        <v>6</v>
      </c>
      <c r="C11" s="7" t="s">
        <v>46</v>
      </c>
      <c r="D11" s="7" t="s">
        <v>18</v>
      </c>
      <c r="E11" s="2">
        <f t="shared" si="0"/>
        <v>5020002</v>
      </c>
      <c r="F11" s="10" t="s">
        <v>35</v>
      </c>
      <c r="G11" s="9"/>
      <c r="H11" s="12"/>
      <c r="I11" s="11"/>
      <c r="K11" s="12"/>
      <c r="M11" s="12"/>
    </row>
    <row r="12" spans="1:13" s="1" customFormat="1" x14ac:dyDescent="0.3">
      <c r="B12" s="2">
        <v>7</v>
      </c>
      <c r="C12" s="7" t="s">
        <v>47</v>
      </c>
      <c r="D12" s="7" t="s">
        <v>19</v>
      </c>
      <c r="E12" s="2">
        <f t="shared" si="0"/>
        <v>5020003</v>
      </c>
      <c r="F12" s="10" t="s">
        <v>36</v>
      </c>
      <c r="G12" s="9"/>
      <c r="H12" s="12"/>
      <c r="I12" s="11"/>
      <c r="K12" s="12"/>
      <c r="M12" s="12"/>
    </row>
    <row r="13" spans="1:13" s="1" customFormat="1" x14ac:dyDescent="0.3">
      <c r="B13" s="2">
        <v>8</v>
      </c>
      <c r="C13" s="7" t="s">
        <v>48</v>
      </c>
      <c r="D13" s="7" t="s">
        <v>20</v>
      </c>
      <c r="E13" s="2">
        <f t="shared" si="0"/>
        <v>5020003</v>
      </c>
      <c r="F13" s="10" t="s">
        <v>36</v>
      </c>
      <c r="G13" s="9"/>
      <c r="H13" s="12"/>
      <c r="I13" s="11"/>
      <c r="K13" s="12"/>
      <c r="M13" s="12"/>
    </row>
    <row r="14" spans="1:13" s="1" customFormat="1" x14ac:dyDescent="0.3">
      <c r="B14" s="2">
        <v>9</v>
      </c>
      <c r="C14" s="7" t="s">
        <v>49</v>
      </c>
      <c r="D14" s="7" t="s">
        <v>21</v>
      </c>
      <c r="E14" s="2">
        <f t="shared" si="0"/>
        <v>5020003</v>
      </c>
      <c r="F14" s="10" t="s">
        <v>36</v>
      </c>
      <c r="G14" s="9"/>
      <c r="H14" s="12"/>
      <c r="I14" s="11"/>
      <c r="K14" s="12"/>
      <c r="M14" s="12"/>
    </row>
    <row r="15" spans="1:13" s="1" customFormat="1" x14ac:dyDescent="0.3">
      <c r="B15" s="2">
        <v>10</v>
      </c>
      <c r="C15" s="7" t="s">
        <v>50</v>
      </c>
      <c r="D15" s="7" t="s">
        <v>22</v>
      </c>
      <c r="E15" s="2">
        <f t="shared" si="0"/>
        <v>5020004</v>
      </c>
      <c r="F15" s="10" t="s">
        <v>37</v>
      </c>
      <c r="G15" s="9"/>
      <c r="H15" s="12"/>
      <c r="I15" s="11"/>
      <c r="K15" s="12"/>
      <c r="M15" s="12"/>
    </row>
    <row r="16" spans="1:13" s="1" customFormat="1" x14ac:dyDescent="0.3">
      <c r="B16" s="2">
        <v>11</v>
      </c>
      <c r="C16" s="7" t="s">
        <v>51</v>
      </c>
      <c r="D16" s="7" t="s">
        <v>23</v>
      </c>
      <c r="E16" s="2">
        <f t="shared" si="0"/>
        <v>5020004</v>
      </c>
      <c r="F16" s="10" t="s">
        <v>37</v>
      </c>
      <c r="G16" s="9"/>
      <c r="H16" s="12"/>
      <c r="I16" s="11"/>
      <c r="K16" s="12"/>
      <c r="M16" s="12"/>
    </row>
    <row r="17" spans="2:13" s="1" customFormat="1" x14ac:dyDescent="0.3">
      <c r="B17" s="2">
        <v>12</v>
      </c>
      <c r="C17" s="7" t="s">
        <v>52</v>
      </c>
      <c r="D17" s="7" t="s">
        <v>24</v>
      </c>
      <c r="E17" s="2">
        <f t="shared" si="0"/>
        <v>5020004</v>
      </c>
      <c r="F17" s="10" t="s">
        <v>37</v>
      </c>
      <c r="G17" s="9"/>
      <c r="H17" s="12"/>
      <c r="I17" s="11"/>
      <c r="K17" s="12"/>
      <c r="M17" s="12"/>
    </row>
    <row r="18" spans="2:13" s="1" customFormat="1" x14ac:dyDescent="0.3">
      <c r="B18" s="2">
        <v>13</v>
      </c>
      <c r="C18" s="7" t="s">
        <v>53</v>
      </c>
      <c r="D18" s="7" t="s">
        <v>25</v>
      </c>
      <c r="E18" s="2">
        <f t="shared" si="0"/>
        <v>5020005</v>
      </c>
      <c r="F18" s="10" t="s">
        <v>38</v>
      </c>
      <c r="G18" s="9"/>
      <c r="H18" s="12"/>
      <c r="I18" s="11"/>
      <c r="K18" s="12"/>
      <c r="M18" s="12"/>
    </row>
    <row r="19" spans="2:13" s="1" customFormat="1" x14ac:dyDescent="0.3">
      <c r="B19" s="2">
        <v>14</v>
      </c>
      <c r="C19" s="7" t="s">
        <v>54</v>
      </c>
      <c r="D19" s="7" t="s">
        <v>26</v>
      </c>
      <c r="E19" s="2">
        <f t="shared" si="0"/>
        <v>5020005</v>
      </c>
      <c r="F19" s="10" t="s">
        <v>38</v>
      </c>
      <c r="G19" s="9"/>
      <c r="H19" s="12"/>
      <c r="I19" s="11"/>
      <c r="K19" s="12"/>
      <c r="M19" s="12"/>
    </row>
    <row r="20" spans="2:13" s="1" customFormat="1" x14ac:dyDescent="0.3">
      <c r="B20" s="2">
        <v>15</v>
      </c>
      <c r="C20" s="7" t="s">
        <v>55</v>
      </c>
      <c r="D20" s="7" t="s">
        <v>27</v>
      </c>
      <c r="E20" s="2">
        <f t="shared" si="0"/>
        <v>5020005</v>
      </c>
      <c r="F20" s="10" t="s">
        <v>38</v>
      </c>
      <c r="G20" s="9"/>
      <c r="H20" s="12"/>
      <c r="I20" s="11"/>
      <c r="K20" s="12"/>
      <c r="M20" s="12"/>
    </row>
    <row r="21" spans="2:13" s="1" customFormat="1" x14ac:dyDescent="0.3">
      <c r="B21" s="2">
        <v>16</v>
      </c>
      <c r="C21" s="7" t="s">
        <v>59</v>
      </c>
      <c r="D21" s="7" t="s">
        <v>28</v>
      </c>
      <c r="E21" s="2">
        <f t="shared" si="0"/>
        <v>5020006</v>
      </c>
      <c r="F21" s="10" t="s">
        <v>39</v>
      </c>
      <c r="G21" s="9"/>
      <c r="H21" s="12"/>
      <c r="I21" s="11"/>
      <c r="K21" s="12"/>
      <c r="M21" s="12"/>
    </row>
    <row r="22" spans="2:13" s="1" customFormat="1" x14ac:dyDescent="0.3">
      <c r="B22" s="2">
        <v>17</v>
      </c>
      <c r="C22" s="7" t="s">
        <v>61</v>
      </c>
      <c r="D22" s="7" t="s">
        <v>29</v>
      </c>
      <c r="E22" s="2">
        <f t="shared" si="0"/>
        <v>5020006</v>
      </c>
      <c r="F22" s="10" t="s">
        <v>39</v>
      </c>
      <c r="G22" s="9"/>
      <c r="H22" s="12"/>
      <c r="I22" s="11"/>
      <c r="K22" s="12"/>
      <c r="M22" s="12"/>
    </row>
    <row r="23" spans="2:13" s="1" customFormat="1" x14ac:dyDescent="0.3">
      <c r="B23" s="2">
        <v>18</v>
      </c>
      <c r="C23" s="7" t="s">
        <v>56</v>
      </c>
      <c r="D23" s="7" t="s">
        <v>30</v>
      </c>
      <c r="E23" s="2">
        <f t="shared" si="0"/>
        <v>5020006</v>
      </c>
      <c r="F23" s="10" t="s">
        <v>39</v>
      </c>
      <c r="G23" s="9"/>
      <c r="H23" s="12"/>
      <c r="I23" s="11"/>
      <c r="K23" s="12"/>
      <c r="M23" s="12"/>
    </row>
    <row r="24" spans="2:13" s="1" customFormat="1" x14ac:dyDescent="0.3">
      <c r="B24" s="2">
        <v>19</v>
      </c>
      <c r="C24" s="7" t="s">
        <v>60</v>
      </c>
      <c r="D24" s="7" t="s">
        <v>31</v>
      </c>
      <c r="E24" s="2">
        <f t="shared" si="0"/>
        <v>5020007</v>
      </c>
      <c r="F24" s="10" t="s">
        <v>40</v>
      </c>
      <c r="G24" s="9"/>
      <c r="H24" s="12"/>
      <c r="I24" s="11"/>
      <c r="K24" s="12"/>
      <c r="M24" s="12"/>
    </row>
    <row r="25" spans="2:13" s="1" customFormat="1" x14ac:dyDescent="0.3">
      <c r="B25" s="2">
        <v>20</v>
      </c>
      <c r="C25" s="7" t="s">
        <v>62</v>
      </c>
      <c r="D25" s="7" t="s">
        <v>32</v>
      </c>
      <c r="E25" s="2">
        <f t="shared" si="0"/>
        <v>5020007</v>
      </c>
      <c r="F25" s="10" t="s">
        <v>40</v>
      </c>
      <c r="G25" s="9"/>
      <c r="H25" s="12"/>
      <c r="I25" s="11"/>
      <c r="K25" s="12"/>
      <c r="M25" s="12"/>
    </row>
    <row r="26" spans="2:13" s="1" customFormat="1" x14ac:dyDescent="0.3">
      <c r="B26" s="2">
        <v>21</v>
      </c>
      <c r="C26" s="7" t="s">
        <v>63</v>
      </c>
      <c r="D26" s="7" t="s">
        <v>33</v>
      </c>
      <c r="E26" s="2">
        <f t="shared" si="0"/>
        <v>5020007</v>
      </c>
      <c r="F26" s="10" t="s">
        <v>40</v>
      </c>
      <c r="G26" s="9"/>
      <c r="H26" s="12"/>
      <c r="I26" s="11"/>
      <c r="K26" s="12"/>
      <c r="M26" s="12"/>
    </row>
    <row r="27" spans="2:13" s="1" customFormat="1" x14ac:dyDescent="0.3">
      <c r="B27" s="2"/>
      <c r="C27" s="7"/>
      <c r="D27" s="7"/>
      <c r="E27" s="2"/>
      <c r="F27" s="10"/>
      <c r="G27" s="9"/>
      <c r="H27" s="12"/>
      <c r="I27" s="11"/>
      <c r="K27" s="12"/>
      <c r="M27" s="12"/>
    </row>
    <row r="28" spans="2:13" s="1" customFormat="1" x14ac:dyDescent="0.3">
      <c r="B28" s="2"/>
      <c r="C28" s="7"/>
      <c r="D28" s="7"/>
      <c r="E28" s="2"/>
      <c r="F28" s="10"/>
      <c r="G28" s="9"/>
      <c r="H28" s="12"/>
      <c r="I28" s="11"/>
      <c r="K28" s="12"/>
      <c r="M28" s="12"/>
    </row>
    <row r="29" spans="2:13" s="1" customFormat="1" x14ac:dyDescent="0.3">
      <c r="B29" s="2"/>
      <c r="C29" s="7"/>
      <c r="D29" s="7"/>
      <c r="E29" s="2"/>
      <c r="F29" s="10"/>
      <c r="G29" s="9"/>
      <c r="H29" s="12"/>
      <c r="I29" s="11"/>
      <c r="K29" s="12"/>
      <c r="M29" s="12"/>
    </row>
    <row r="30" spans="2:13" s="1" customFormat="1" x14ac:dyDescent="0.3">
      <c r="B30" s="2"/>
      <c r="C30" s="7"/>
      <c r="D30" s="7"/>
      <c r="E30" s="2"/>
      <c r="F30" s="10"/>
      <c r="G30" s="9"/>
      <c r="H30" s="12"/>
      <c r="I30" s="11"/>
      <c r="K30" s="12"/>
      <c r="M30" s="12"/>
    </row>
    <row r="31" spans="2:13" s="1" customFormat="1" x14ac:dyDescent="0.3">
      <c r="B31" s="2"/>
      <c r="C31" s="7"/>
      <c r="D31" s="7"/>
      <c r="E31" s="2"/>
      <c r="F31" s="10"/>
      <c r="G31" s="9"/>
      <c r="H31" s="12"/>
      <c r="I31" s="11"/>
      <c r="K31" s="12"/>
      <c r="M31" s="12"/>
    </row>
    <row r="32" spans="2:13" s="1" customFormat="1" x14ac:dyDescent="0.3">
      <c r="B32" s="2"/>
      <c r="C32" s="7"/>
      <c r="D32" s="7"/>
      <c r="E32" s="2"/>
      <c r="F32" s="10"/>
      <c r="G32" s="9"/>
      <c r="H32" s="12"/>
      <c r="I32" s="11"/>
      <c r="K32" s="12"/>
      <c r="M32" s="12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C62C-CAAE-400B-8F75-4A186D1849AB}">
  <dimension ref="A1:E15"/>
  <sheetViews>
    <sheetView tabSelected="1" workbookViewId="0">
      <selection activeCell="E20" sqref="E20"/>
    </sheetView>
  </sheetViews>
  <sheetFormatPr defaultRowHeight="13.5" x14ac:dyDescent="0.3"/>
  <sheetData>
    <row r="1" spans="1:5" x14ac:dyDescent="0.3">
      <c r="A1" s="4" t="s">
        <v>0</v>
      </c>
      <c r="B1" t="s">
        <v>1</v>
      </c>
      <c r="C1" s="6" t="s">
        <v>68</v>
      </c>
      <c r="D1" s="6" t="s">
        <v>66</v>
      </c>
      <c r="E1" s="8" t="s">
        <v>71</v>
      </c>
    </row>
    <row r="2" spans="1:5" x14ac:dyDescent="0.3">
      <c r="A2" s="4" t="s">
        <v>0</v>
      </c>
      <c r="E2" s="3"/>
    </row>
    <row r="3" spans="1:5" x14ac:dyDescent="0.3">
      <c r="A3" s="5" t="s">
        <v>4</v>
      </c>
      <c r="B3" t="s">
        <v>5</v>
      </c>
      <c r="C3" s="6" t="s">
        <v>69</v>
      </c>
      <c r="D3" t="s">
        <v>5</v>
      </c>
      <c r="E3" s="3" t="s">
        <v>72</v>
      </c>
    </row>
    <row r="4" spans="1:5" x14ac:dyDescent="0.3">
      <c r="A4" s="5" t="s">
        <v>8</v>
      </c>
      <c r="E4" s="3"/>
    </row>
    <row r="5" spans="1:5" x14ac:dyDescent="0.3">
      <c r="A5" s="4" t="s">
        <v>10</v>
      </c>
      <c r="B5" t="s">
        <v>1</v>
      </c>
      <c r="C5" s="6" t="s">
        <v>70</v>
      </c>
      <c r="D5" s="6" t="s">
        <v>67</v>
      </c>
      <c r="E5" s="8" t="s">
        <v>73</v>
      </c>
    </row>
    <row r="6" spans="1:5" x14ac:dyDescent="0.3">
      <c r="B6">
        <v>1001</v>
      </c>
      <c r="C6">
        <v>1</v>
      </c>
      <c r="D6">
        <v>1</v>
      </c>
      <c r="E6" s="9" t="s">
        <v>75</v>
      </c>
    </row>
    <row r="7" spans="1:5" x14ac:dyDescent="0.3">
      <c r="B7">
        <v>1002</v>
      </c>
      <c r="C7">
        <v>1</v>
      </c>
      <c r="D7">
        <v>3</v>
      </c>
      <c r="E7" s="9" t="s">
        <v>76</v>
      </c>
    </row>
    <row r="8" spans="1:5" x14ac:dyDescent="0.3">
      <c r="B8">
        <v>1003</v>
      </c>
      <c r="C8">
        <v>1</v>
      </c>
      <c r="D8">
        <v>5</v>
      </c>
      <c r="E8" s="9" t="s">
        <v>77</v>
      </c>
    </row>
    <row r="9" spans="1:5" x14ac:dyDescent="0.3">
      <c r="B9">
        <v>1004</v>
      </c>
      <c r="C9">
        <v>1</v>
      </c>
      <c r="D9">
        <v>10</v>
      </c>
      <c r="E9" s="9" t="s">
        <v>78</v>
      </c>
    </row>
    <row r="10" spans="1:5" x14ac:dyDescent="0.3">
      <c r="B10">
        <v>1005</v>
      </c>
      <c r="C10">
        <v>1</v>
      </c>
      <c r="D10">
        <v>30</v>
      </c>
      <c r="E10" s="9" t="s">
        <v>74</v>
      </c>
    </row>
    <row r="11" spans="1:5" x14ac:dyDescent="0.3">
      <c r="B11">
        <v>2001</v>
      </c>
      <c r="C11">
        <v>2</v>
      </c>
      <c r="D11">
        <v>1</v>
      </c>
      <c r="E11" s="9" t="s">
        <v>74</v>
      </c>
    </row>
    <row r="12" spans="1:5" x14ac:dyDescent="0.3">
      <c r="B12">
        <v>2002</v>
      </c>
      <c r="C12">
        <v>2</v>
      </c>
      <c r="D12">
        <v>3</v>
      </c>
      <c r="E12" s="9" t="s">
        <v>74</v>
      </c>
    </row>
    <row r="13" spans="1:5" x14ac:dyDescent="0.3">
      <c r="B13">
        <v>2003</v>
      </c>
      <c r="C13">
        <v>2</v>
      </c>
      <c r="D13">
        <v>5</v>
      </c>
      <c r="E13" s="9" t="s">
        <v>74</v>
      </c>
    </row>
    <row r="14" spans="1:5" x14ac:dyDescent="0.3">
      <c r="B14">
        <v>2004</v>
      </c>
      <c r="C14">
        <v>2</v>
      </c>
      <c r="D14">
        <v>10</v>
      </c>
      <c r="E14" s="9" t="s">
        <v>74</v>
      </c>
    </row>
    <row r="15" spans="1:5" x14ac:dyDescent="0.3">
      <c r="B15">
        <v>2005</v>
      </c>
      <c r="C15">
        <v>2</v>
      </c>
      <c r="D15">
        <v>30</v>
      </c>
      <c r="E15" s="9" t="s">
        <v>74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宗门对决主表</vt:lpstr>
      <vt:lpstr>宗门对决排行奖励表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2024-12-30T11:45:24Z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2052-12.1.0.17440</vt:lpwstr>
  </property>
  <property fmtid="{D5CDD505-2E9C-101B-9397-08002B2CF9AE}" pid="3" name="ICV">
    <vt:lpwstr>6C86DBBF58D441CCB3B12B6BBAAD3A6A_12</vt:lpwstr>
  </property>
</Properties>
</file>