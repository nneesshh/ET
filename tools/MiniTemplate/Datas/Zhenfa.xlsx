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80DC578D-372B-4420-AA22-8783AAA2FC00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阵法主表" sheetId="4" r:id="rId1"/>
    <sheet name="阵法升级表" sheetId="1" r:id="rId2"/>
    <sheet name="阵法组表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7" i="1"/>
  <c r="G12" i="1"/>
  <c r="G17" i="1" s="1"/>
  <c r="G22" i="1" s="1"/>
  <c r="G13" i="1"/>
  <c r="G18" i="1" s="1"/>
  <c r="G23" i="1" s="1"/>
  <c r="G14" i="1"/>
  <c r="G19" i="1" s="1"/>
  <c r="G24" i="1" s="1"/>
  <c r="G15" i="1"/>
  <c r="G20" i="1" s="1"/>
  <c r="G25" i="1" s="1"/>
  <c r="G11" i="1"/>
  <c r="G16" i="1" s="1"/>
  <c r="G21" i="1" s="1"/>
  <c r="I165" i="4"/>
  <c r="F165" i="4"/>
  <c r="E165" i="4"/>
  <c r="D165" i="4"/>
  <c r="I164" i="4"/>
  <c r="F164" i="4"/>
  <c r="E164" i="4"/>
  <c r="D164" i="4"/>
  <c r="I163" i="4"/>
  <c r="F163" i="4"/>
  <c r="E163" i="4"/>
  <c r="D163" i="4"/>
  <c r="I162" i="4"/>
  <c r="F162" i="4"/>
  <c r="E162" i="4"/>
  <c r="D162" i="4"/>
  <c r="I161" i="4"/>
  <c r="F161" i="4"/>
  <c r="E161" i="4"/>
  <c r="D161" i="4"/>
  <c r="I160" i="4"/>
  <c r="F160" i="4"/>
  <c r="E160" i="4"/>
  <c r="D160" i="4"/>
  <c r="I159" i="4"/>
  <c r="F159" i="4"/>
  <c r="E159" i="4"/>
  <c r="D159" i="4"/>
  <c r="I158" i="4"/>
  <c r="F158" i="4"/>
  <c r="E158" i="4"/>
  <c r="D158" i="4"/>
  <c r="I157" i="4"/>
  <c r="F157" i="4"/>
  <c r="E157" i="4"/>
  <c r="D157" i="4"/>
  <c r="I156" i="4"/>
  <c r="F156" i="4"/>
  <c r="D156" i="4"/>
  <c r="I155" i="4"/>
  <c r="F155" i="4"/>
  <c r="E155" i="4"/>
  <c r="D155" i="4"/>
  <c r="I154" i="4"/>
  <c r="F154" i="4"/>
  <c r="E154" i="4"/>
  <c r="D154" i="4"/>
  <c r="I153" i="4"/>
  <c r="F153" i="4"/>
  <c r="E153" i="4"/>
  <c r="D153" i="4"/>
  <c r="I152" i="4"/>
  <c r="F152" i="4"/>
  <c r="E152" i="4"/>
  <c r="D152" i="4"/>
  <c r="I151" i="4"/>
  <c r="F151" i="4"/>
  <c r="E151" i="4"/>
  <c r="D151" i="4"/>
  <c r="I150" i="4"/>
  <c r="F150" i="4"/>
  <c r="E150" i="4"/>
  <c r="D150" i="4"/>
  <c r="I149" i="4"/>
  <c r="F149" i="4"/>
  <c r="E149" i="4"/>
  <c r="D149" i="4"/>
  <c r="I148" i="4"/>
  <c r="F148" i="4"/>
  <c r="E148" i="4"/>
  <c r="D148" i="4"/>
  <c r="I147" i="4"/>
  <c r="F147" i="4"/>
  <c r="E147" i="4"/>
  <c r="D147" i="4"/>
  <c r="I146" i="4"/>
  <c r="F146" i="4"/>
  <c r="E146" i="4"/>
  <c r="D146" i="4"/>
  <c r="I145" i="4"/>
  <c r="F145" i="4"/>
  <c r="E145" i="4"/>
  <c r="D145" i="4"/>
  <c r="I144" i="4"/>
  <c r="F144" i="4"/>
  <c r="E144" i="4"/>
  <c r="D144" i="4"/>
  <c r="I143" i="4"/>
  <c r="F143" i="4"/>
  <c r="E143" i="4"/>
  <c r="D143" i="4"/>
  <c r="I142" i="4"/>
  <c r="F142" i="4"/>
  <c r="E142" i="4"/>
  <c r="D142" i="4"/>
  <c r="I141" i="4"/>
  <c r="F141" i="4"/>
  <c r="E141" i="4"/>
  <c r="D141" i="4"/>
  <c r="I140" i="4"/>
  <c r="F140" i="4"/>
  <c r="E140" i="4"/>
  <c r="D140" i="4"/>
  <c r="I139" i="4"/>
  <c r="F139" i="4"/>
  <c r="E139" i="4"/>
  <c r="D139" i="4"/>
  <c r="I138" i="4"/>
  <c r="F138" i="4"/>
  <c r="E138" i="4"/>
  <c r="D138" i="4"/>
  <c r="I137" i="4"/>
  <c r="F137" i="4"/>
  <c r="E137" i="4"/>
  <c r="D137" i="4"/>
  <c r="I136" i="4"/>
  <c r="F136" i="4"/>
  <c r="D136" i="4"/>
  <c r="I135" i="4"/>
  <c r="F135" i="4"/>
  <c r="E135" i="4"/>
  <c r="D135" i="4"/>
  <c r="I134" i="4"/>
  <c r="F134" i="4"/>
  <c r="E134" i="4"/>
  <c r="D134" i="4"/>
  <c r="I133" i="4"/>
  <c r="F133" i="4"/>
  <c r="E133" i="4"/>
  <c r="D133" i="4"/>
  <c r="I132" i="4"/>
  <c r="F132" i="4"/>
  <c r="E132" i="4"/>
  <c r="D132" i="4"/>
  <c r="I131" i="4"/>
  <c r="F131" i="4"/>
  <c r="E131" i="4"/>
  <c r="D131" i="4"/>
  <c r="I130" i="4"/>
  <c r="F130" i="4"/>
  <c r="E130" i="4"/>
  <c r="D130" i="4"/>
  <c r="I129" i="4"/>
  <c r="F129" i="4"/>
  <c r="E129" i="4"/>
  <c r="D129" i="4"/>
  <c r="I128" i="4"/>
  <c r="F128" i="4"/>
  <c r="E128" i="4"/>
  <c r="D128" i="4"/>
  <c r="I127" i="4"/>
  <c r="F127" i="4"/>
  <c r="E127" i="4"/>
  <c r="D127" i="4"/>
  <c r="I126" i="4"/>
  <c r="F126" i="4"/>
  <c r="E126" i="4"/>
  <c r="D126" i="4"/>
  <c r="J125" i="4"/>
  <c r="I125" i="4"/>
  <c r="F125" i="4"/>
  <c r="E125" i="4"/>
  <c r="D125" i="4"/>
  <c r="J124" i="4"/>
  <c r="I124" i="4"/>
  <c r="F124" i="4"/>
  <c r="E124" i="4"/>
  <c r="D124" i="4"/>
  <c r="J123" i="4"/>
  <c r="I123" i="4"/>
  <c r="F123" i="4"/>
  <c r="E123" i="4"/>
  <c r="D123" i="4"/>
  <c r="J122" i="4"/>
  <c r="I122" i="4"/>
  <c r="F122" i="4"/>
  <c r="E122" i="4"/>
  <c r="D122" i="4"/>
  <c r="J121" i="4"/>
  <c r="I121" i="4"/>
  <c r="F121" i="4"/>
  <c r="E121" i="4"/>
  <c r="D121" i="4"/>
  <c r="J120" i="4"/>
  <c r="I120" i="4"/>
  <c r="F120" i="4"/>
  <c r="E120" i="4"/>
  <c r="D120" i="4"/>
  <c r="J119" i="4"/>
  <c r="I119" i="4"/>
  <c r="F119" i="4"/>
  <c r="E119" i="4"/>
  <c r="D119" i="4"/>
  <c r="J118" i="4"/>
  <c r="I118" i="4"/>
  <c r="F118" i="4"/>
  <c r="E118" i="4"/>
  <c r="D118" i="4"/>
  <c r="J117" i="4"/>
  <c r="I117" i="4"/>
  <c r="F117" i="4"/>
  <c r="E117" i="4"/>
  <c r="D117" i="4"/>
  <c r="J116" i="4"/>
  <c r="I116" i="4"/>
  <c r="F116" i="4"/>
  <c r="D116" i="4"/>
  <c r="J115" i="4"/>
  <c r="I115" i="4"/>
  <c r="F115" i="4"/>
  <c r="E115" i="4"/>
  <c r="D115" i="4"/>
  <c r="J114" i="4"/>
  <c r="I114" i="4"/>
  <c r="F114" i="4"/>
  <c r="E114" i="4"/>
  <c r="D114" i="4"/>
  <c r="J113" i="4"/>
  <c r="I113" i="4"/>
  <c r="F113" i="4"/>
  <c r="E113" i="4"/>
  <c r="D113" i="4"/>
  <c r="J112" i="4"/>
  <c r="I112" i="4"/>
  <c r="F112" i="4"/>
  <c r="E112" i="4"/>
  <c r="D112" i="4"/>
  <c r="J111" i="4"/>
  <c r="I111" i="4"/>
  <c r="F111" i="4"/>
  <c r="E111" i="4"/>
  <c r="D111" i="4"/>
  <c r="J110" i="4"/>
  <c r="I110" i="4"/>
  <c r="F110" i="4"/>
  <c r="E110" i="4"/>
  <c r="D110" i="4"/>
  <c r="J109" i="4"/>
  <c r="I109" i="4"/>
  <c r="F109" i="4"/>
  <c r="E109" i="4"/>
  <c r="D109" i="4"/>
  <c r="J108" i="4"/>
  <c r="I108" i="4"/>
  <c r="F108" i="4"/>
  <c r="E108" i="4"/>
  <c r="D108" i="4"/>
  <c r="J107" i="4"/>
  <c r="I107" i="4"/>
  <c r="F107" i="4"/>
  <c r="E107" i="4"/>
  <c r="D107" i="4"/>
  <c r="J106" i="4"/>
  <c r="I106" i="4"/>
  <c r="F106" i="4"/>
  <c r="E106" i="4"/>
  <c r="D106" i="4"/>
  <c r="J105" i="4"/>
  <c r="I105" i="4"/>
  <c r="F105" i="4"/>
  <c r="E105" i="4"/>
  <c r="D105" i="4"/>
  <c r="J104" i="4"/>
  <c r="I104" i="4"/>
  <c r="F104" i="4"/>
  <c r="E104" i="4"/>
  <c r="D104" i="4"/>
  <c r="J103" i="4"/>
  <c r="I103" i="4"/>
  <c r="F103" i="4"/>
  <c r="E103" i="4"/>
  <c r="D103" i="4"/>
  <c r="J102" i="4"/>
  <c r="I102" i="4"/>
  <c r="F102" i="4"/>
  <c r="E102" i="4"/>
  <c r="D102" i="4"/>
  <c r="J101" i="4"/>
  <c r="I101" i="4"/>
  <c r="F101" i="4"/>
  <c r="E101" i="4"/>
  <c r="D101" i="4"/>
  <c r="J100" i="4"/>
  <c r="I100" i="4"/>
  <c r="F100" i="4"/>
  <c r="E100" i="4"/>
  <c r="D100" i="4"/>
  <c r="J99" i="4"/>
  <c r="I99" i="4"/>
  <c r="F99" i="4"/>
  <c r="E99" i="4"/>
  <c r="D99" i="4"/>
  <c r="J98" i="4"/>
  <c r="I98" i="4"/>
  <c r="F98" i="4"/>
  <c r="E98" i="4"/>
  <c r="D98" i="4"/>
  <c r="J97" i="4"/>
  <c r="I97" i="4"/>
  <c r="F97" i="4"/>
  <c r="E97" i="4"/>
  <c r="D97" i="4"/>
  <c r="J96" i="4"/>
  <c r="I96" i="4"/>
  <c r="F96" i="4"/>
  <c r="D96" i="4"/>
  <c r="J95" i="4"/>
  <c r="I95" i="4"/>
  <c r="F95" i="4"/>
  <c r="E95" i="4"/>
  <c r="D95" i="4"/>
  <c r="J94" i="4"/>
  <c r="I94" i="4"/>
  <c r="F94" i="4"/>
  <c r="E94" i="4"/>
  <c r="D94" i="4"/>
  <c r="J93" i="4"/>
  <c r="I93" i="4"/>
  <c r="F93" i="4"/>
  <c r="E93" i="4"/>
  <c r="D93" i="4"/>
  <c r="J92" i="4"/>
  <c r="I92" i="4"/>
  <c r="F92" i="4"/>
  <c r="E92" i="4"/>
  <c r="D92" i="4"/>
  <c r="J91" i="4"/>
  <c r="I91" i="4"/>
  <c r="F91" i="4"/>
  <c r="E91" i="4"/>
  <c r="D91" i="4"/>
  <c r="J90" i="4"/>
  <c r="I90" i="4"/>
  <c r="F90" i="4"/>
  <c r="E90" i="4"/>
  <c r="D90" i="4"/>
  <c r="J89" i="4"/>
  <c r="I89" i="4"/>
  <c r="F89" i="4"/>
  <c r="E89" i="4"/>
  <c r="D89" i="4"/>
  <c r="J88" i="4"/>
  <c r="I88" i="4"/>
  <c r="F88" i="4"/>
  <c r="E88" i="4"/>
  <c r="D88" i="4"/>
  <c r="J87" i="4"/>
  <c r="I87" i="4"/>
  <c r="F87" i="4"/>
  <c r="E87" i="4"/>
  <c r="D87" i="4"/>
  <c r="J86" i="4"/>
  <c r="I86" i="4"/>
  <c r="F86" i="4"/>
  <c r="E86" i="4"/>
  <c r="D86" i="4"/>
  <c r="J85" i="4"/>
  <c r="I85" i="4"/>
  <c r="F85" i="4"/>
  <c r="E85" i="4"/>
  <c r="D85" i="4"/>
  <c r="J84" i="4"/>
  <c r="I84" i="4"/>
  <c r="F84" i="4"/>
  <c r="E84" i="4"/>
  <c r="D84" i="4"/>
  <c r="J83" i="4"/>
  <c r="I83" i="4"/>
  <c r="F83" i="4"/>
  <c r="E83" i="4"/>
  <c r="D83" i="4"/>
  <c r="J82" i="4"/>
  <c r="I82" i="4"/>
  <c r="F82" i="4"/>
  <c r="E82" i="4"/>
  <c r="D82" i="4"/>
  <c r="J81" i="4"/>
  <c r="I81" i="4"/>
  <c r="F81" i="4"/>
  <c r="E81" i="4"/>
  <c r="D81" i="4"/>
  <c r="J80" i="4"/>
  <c r="I80" i="4"/>
  <c r="F80" i="4"/>
  <c r="E80" i="4"/>
  <c r="D80" i="4"/>
  <c r="J79" i="4"/>
  <c r="I79" i="4"/>
  <c r="F79" i="4"/>
  <c r="E79" i="4"/>
  <c r="D79" i="4"/>
  <c r="J78" i="4"/>
  <c r="I78" i="4"/>
  <c r="F78" i="4"/>
  <c r="E78" i="4"/>
  <c r="D78" i="4"/>
  <c r="J77" i="4"/>
  <c r="I77" i="4"/>
  <c r="F77" i="4"/>
  <c r="E77" i="4"/>
  <c r="D77" i="4"/>
  <c r="J76" i="4"/>
  <c r="I76" i="4"/>
  <c r="F76" i="4"/>
  <c r="D76" i="4"/>
  <c r="J75" i="4"/>
  <c r="I75" i="4"/>
  <c r="F75" i="4"/>
  <c r="E75" i="4"/>
  <c r="D75" i="4"/>
  <c r="J74" i="4"/>
  <c r="I74" i="4"/>
  <c r="F74" i="4"/>
  <c r="E74" i="4"/>
  <c r="D74" i="4"/>
  <c r="J73" i="4"/>
  <c r="I73" i="4"/>
  <c r="F73" i="4"/>
  <c r="E73" i="4"/>
  <c r="D73" i="4"/>
  <c r="J72" i="4"/>
  <c r="I72" i="4"/>
  <c r="F72" i="4"/>
  <c r="E72" i="4"/>
  <c r="D72" i="4"/>
  <c r="J71" i="4"/>
  <c r="I71" i="4"/>
  <c r="F71" i="4"/>
  <c r="E71" i="4"/>
  <c r="D71" i="4"/>
  <c r="J70" i="4"/>
  <c r="I70" i="4"/>
  <c r="F70" i="4"/>
  <c r="E70" i="4"/>
  <c r="D70" i="4"/>
  <c r="J69" i="4"/>
  <c r="I69" i="4"/>
  <c r="F69" i="4"/>
  <c r="E69" i="4"/>
  <c r="D69" i="4"/>
  <c r="J68" i="4"/>
  <c r="I68" i="4"/>
  <c r="F68" i="4"/>
  <c r="E68" i="4"/>
  <c r="D68" i="4"/>
  <c r="J67" i="4"/>
  <c r="I67" i="4"/>
  <c r="F67" i="4"/>
  <c r="E67" i="4"/>
  <c r="D67" i="4"/>
  <c r="J66" i="4"/>
  <c r="I66" i="4"/>
  <c r="F66" i="4"/>
  <c r="E66" i="4"/>
  <c r="D66" i="4"/>
  <c r="J65" i="4"/>
  <c r="I65" i="4"/>
  <c r="F65" i="4"/>
  <c r="E65" i="4"/>
  <c r="D65" i="4"/>
  <c r="J64" i="4"/>
  <c r="I64" i="4"/>
  <c r="F64" i="4"/>
  <c r="E64" i="4"/>
  <c r="D64" i="4"/>
  <c r="J63" i="4"/>
  <c r="I63" i="4"/>
  <c r="F63" i="4"/>
  <c r="E63" i="4"/>
  <c r="D63" i="4"/>
  <c r="J62" i="4"/>
  <c r="I62" i="4"/>
  <c r="F62" i="4"/>
  <c r="E62" i="4"/>
  <c r="D62" i="4"/>
  <c r="J61" i="4"/>
  <c r="I61" i="4"/>
  <c r="F61" i="4"/>
  <c r="E61" i="4"/>
  <c r="D61" i="4"/>
  <c r="J60" i="4"/>
  <c r="I60" i="4"/>
  <c r="F60" i="4"/>
  <c r="E60" i="4"/>
  <c r="D60" i="4"/>
  <c r="J59" i="4"/>
  <c r="I59" i="4"/>
  <c r="F59" i="4"/>
  <c r="E59" i="4"/>
  <c r="D59" i="4"/>
  <c r="J58" i="4"/>
  <c r="I58" i="4"/>
  <c r="F58" i="4"/>
  <c r="E58" i="4"/>
  <c r="D58" i="4"/>
  <c r="J57" i="4"/>
  <c r="I57" i="4"/>
  <c r="F57" i="4"/>
  <c r="E57" i="4"/>
  <c r="D57" i="4"/>
  <c r="J56" i="4"/>
  <c r="I56" i="4"/>
  <c r="F56" i="4"/>
  <c r="D56" i="4"/>
  <c r="J55" i="4"/>
  <c r="I55" i="4"/>
  <c r="F55" i="4"/>
  <c r="E55" i="4"/>
  <c r="D55" i="4"/>
  <c r="J54" i="4"/>
  <c r="I54" i="4"/>
  <c r="F54" i="4"/>
  <c r="E54" i="4"/>
  <c r="D54" i="4"/>
  <c r="J53" i="4"/>
  <c r="I53" i="4"/>
  <c r="F53" i="4"/>
  <c r="E53" i="4"/>
  <c r="D53" i="4"/>
  <c r="J52" i="4"/>
  <c r="I52" i="4"/>
  <c r="F52" i="4"/>
  <c r="E52" i="4"/>
  <c r="D52" i="4"/>
  <c r="J51" i="4"/>
  <c r="I51" i="4"/>
  <c r="F51" i="4"/>
  <c r="E51" i="4"/>
  <c r="D51" i="4"/>
  <c r="J50" i="4"/>
  <c r="I50" i="4"/>
  <c r="F50" i="4"/>
  <c r="E50" i="4"/>
  <c r="D50" i="4"/>
  <c r="J49" i="4"/>
  <c r="I49" i="4"/>
  <c r="F49" i="4"/>
  <c r="E49" i="4"/>
  <c r="D49" i="4"/>
  <c r="J48" i="4"/>
  <c r="I48" i="4"/>
  <c r="F48" i="4"/>
  <c r="E48" i="4"/>
  <c r="D48" i="4"/>
  <c r="J47" i="4"/>
  <c r="I47" i="4"/>
  <c r="F47" i="4"/>
  <c r="E47" i="4"/>
  <c r="D47" i="4"/>
  <c r="J46" i="4"/>
  <c r="I46" i="4"/>
  <c r="F46" i="4"/>
  <c r="E46" i="4"/>
  <c r="D46" i="4"/>
  <c r="J45" i="4"/>
  <c r="I45" i="4"/>
  <c r="F45" i="4"/>
  <c r="E45" i="4"/>
  <c r="D45" i="4"/>
  <c r="J44" i="4"/>
  <c r="I44" i="4"/>
  <c r="F44" i="4"/>
  <c r="E44" i="4"/>
  <c r="D44" i="4"/>
  <c r="J43" i="4"/>
  <c r="I43" i="4"/>
  <c r="F43" i="4"/>
  <c r="E43" i="4"/>
  <c r="D43" i="4"/>
  <c r="J42" i="4"/>
  <c r="I42" i="4"/>
  <c r="F42" i="4"/>
  <c r="E42" i="4"/>
  <c r="D42" i="4"/>
  <c r="J41" i="4"/>
  <c r="I41" i="4"/>
  <c r="F41" i="4"/>
  <c r="E41" i="4"/>
  <c r="D41" i="4"/>
  <c r="J40" i="4"/>
  <c r="I40" i="4"/>
  <c r="F40" i="4"/>
  <c r="E40" i="4"/>
  <c r="D40" i="4"/>
  <c r="J39" i="4"/>
  <c r="I39" i="4"/>
  <c r="F39" i="4"/>
  <c r="E39" i="4"/>
  <c r="D39" i="4"/>
  <c r="J38" i="4"/>
  <c r="I38" i="4"/>
  <c r="F38" i="4"/>
  <c r="E38" i="4"/>
  <c r="D38" i="4"/>
  <c r="J37" i="4"/>
  <c r="I37" i="4"/>
  <c r="F37" i="4"/>
  <c r="E37" i="4"/>
  <c r="D37" i="4"/>
  <c r="J36" i="4"/>
  <c r="I36" i="4"/>
  <c r="F36" i="4"/>
  <c r="E36" i="4"/>
  <c r="E56" i="4" s="1"/>
  <c r="E76" i="4" s="1"/>
  <c r="E96" i="4" s="1"/>
  <c r="E116" i="4" s="1"/>
  <c r="E136" i="4" s="1"/>
  <c r="E156" i="4" s="1"/>
  <c r="D36" i="4"/>
  <c r="J35" i="4"/>
  <c r="I35" i="4"/>
  <c r="F35" i="4"/>
  <c r="E35" i="4"/>
  <c r="D35" i="4"/>
  <c r="J34" i="4"/>
  <c r="I34" i="4"/>
  <c r="F34" i="4"/>
  <c r="E34" i="4"/>
  <c r="D34" i="4"/>
  <c r="J33" i="4"/>
  <c r="I33" i="4"/>
  <c r="F33" i="4"/>
  <c r="E33" i="4"/>
  <c r="D33" i="4"/>
  <c r="J32" i="4"/>
  <c r="I32" i="4"/>
  <c r="F32" i="4"/>
  <c r="E32" i="4"/>
  <c r="D32" i="4"/>
  <c r="J31" i="4"/>
  <c r="I31" i="4"/>
  <c r="F31" i="4"/>
  <c r="E31" i="4"/>
  <c r="D31" i="4"/>
  <c r="J30" i="4"/>
  <c r="I30" i="4"/>
  <c r="F30" i="4"/>
  <c r="E30" i="4"/>
  <c r="D30" i="4"/>
  <c r="J29" i="4"/>
  <c r="I29" i="4"/>
  <c r="F29" i="4"/>
  <c r="E29" i="4"/>
  <c r="D29" i="4"/>
  <c r="J28" i="4"/>
  <c r="I28" i="4"/>
  <c r="F28" i="4"/>
  <c r="E28" i="4"/>
  <c r="D28" i="4"/>
  <c r="J27" i="4"/>
  <c r="I27" i="4"/>
  <c r="F27" i="4"/>
  <c r="E27" i="4"/>
  <c r="D27" i="4"/>
  <c r="J26" i="4"/>
  <c r="I26" i="4"/>
  <c r="F26" i="4"/>
  <c r="E26" i="4"/>
  <c r="D26" i="4"/>
  <c r="J25" i="4"/>
  <c r="F25" i="4"/>
  <c r="J24" i="4"/>
  <c r="F24" i="4"/>
  <c r="J23" i="4"/>
  <c r="F23" i="4"/>
  <c r="J22" i="4"/>
  <c r="F22" i="4"/>
  <c r="J21" i="4"/>
  <c r="F21" i="4"/>
  <c r="J20" i="4"/>
  <c r="F20" i="4"/>
  <c r="J19" i="4"/>
  <c r="F19" i="4"/>
  <c r="J18" i="4"/>
  <c r="F18" i="4"/>
  <c r="J17" i="4"/>
  <c r="F17" i="4"/>
  <c r="J16" i="4"/>
  <c r="F16" i="4"/>
  <c r="J15" i="4"/>
  <c r="F15" i="4"/>
  <c r="J14" i="4"/>
  <c r="F14" i="4"/>
  <c r="J13" i="4"/>
  <c r="F13" i="4"/>
  <c r="J12" i="4"/>
  <c r="F12" i="4"/>
  <c r="J11" i="4"/>
  <c r="F11" i="4"/>
  <c r="J10" i="4"/>
  <c r="F10" i="4"/>
  <c r="J9" i="4"/>
  <c r="F9" i="4"/>
  <c r="J8" i="4"/>
  <c r="F8" i="4"/>
  <c r="J7" i="4"/>
  <c r="F7" i="4"/>
  <c r="J6" i="4"/>
  <c r="F6" i="4"/>
</calcChain>
</file>

<file path=xl/sharedStrings.xml><?xml version="1.0" encoding="utf-8"?>
<sst xmlns="http://schemas.openxmlformats.org/spreadsheetml/2006/main" count="419" uniqueCount="233">
  <si>
    <t>##var</t>
  </si>
  <si>
    <t>unitID</t>
  </si>
  <si>
    <t>name</t>
  </si>
  <si>
    <t>group</t>
  </si>
  <si>
    <t>level</t>
  </si>
  <si>
    <t>buffs</t>
  </si>
  <si>
    <t>buffDesc</t>
  </si>
  <si>
    <t>##</t>
  </si>
  <si>
    <t>##type</t>
  </si>
  <si>
    <t>int</t>
  </si>
  <si>
    <t>string</t>
  </si>
  <si>
    <t>(list#sep=;),int#ref=Battle.TbBuffMain</t>
  </si>
  <si>
    <t>##group</t>
  </si>
  <si>
    <t>c</t>
  </si>
  <si>
    <t>id</t>
  </si>
  <si>
    <t>备注</t>
  </si>
  <si>
    <t>阵法组</t>
  </si>
  <si>
    <t>等级</t>
  </si>
  <si>
    <t>阵法给宗门成员附加的buff</t>
  </si>
  <si>
    <t>buff描述</t>
  </si>
  <si>
    <t>两仪阵</t>
  </si>
  <si>
    <t>风属性伤害3%\n风属性减伤3%</t>
  </si>
  <si>
    <t>风属性伤害6%\n风属性减伤6%</t>
  </si>
  <si>
    <t>风属性伤害9%\n风属性减伤9%</t>
  </si>
  <si>
    <t>风属性伤害12%\n风属性减伤12%</t>
  </si>
  <si>
    <t>风属性伤害15%\n风属性减伤15%</t>
  </si>
  <si>
    <t>风属性伤害18%\n风属性减伤18%</t>
  </si>
  <si>
    <t>风属性伤害21%\n风属性减伤21%</t>
  </si>
  <si>
    <t>风属性伤害24%\n风属性减伤24%</t>
  </si>
  <si>
    <t>风属性伤害27%\n风属性减伤27%</t>
  </si>
  <si>
    <t>风属性伤害30%\n风属性减伤30%</t>
  </si>
  <si>
    <t>风属性伤害33%\n风属性减伤33%</t>
  </si>
  <si>
    <t>风属性伤害36%\n风属性减伤36%</t>
  </si>
  <si>
    <t>风属性伤害39%\n风属性减伤39%</t>
  </si>
  <si>
    <t>风属性伤害42%\n风属性减伤42%</t>
  </si>
  <si>
    <t>风属性伤害45%\n风属性减伤45%</t>
  </si>
  <si>
    <t>风属性伤害48%\n风属性减伤48%</t>
  </si>
  <si>
    <t>风属性伤害51%\n风属性减伤51%</t>
  </si>
  <si>
    <t>风属性伤害54%\n风属性减伤54%</t>
  </si>
  <si>
    <t>风属性伤害57%\n风属性减伤57%</t>
  </si>
  <si>
    <t>风属性伤害60%\n风属性减伤60%</t>
  </si>
  <si>
    <t>三才阵</t>
  </si>
  <si>
    <t>土属性伤害3%\n土属性减伤3%</t>
  </si>
  <si>
    <t>土属性伤害6%\n土属性减伤6%</t>
  </si>
  <si>
    <t>土属性伤害9%\n土属性减伤9%</t>
  </si>
  <si>
    <t>土属性伤害12%\n土属性减伤12%</t>
  </si>
  <si>
    <t>土属性伤害15%\n土属性减伤15%</t>
  </si>
  <si>
    <t>土属性伤害18%\n土属性减伤18%</t>
  </si>
  <si>
    <t>土属性伤害21%\n土属性减伤21%</t>
  </si>
  <si>
    <t>土属性伤害24%\n土属性减伤24%</t>
  </si>
  <si>
    <t>土属性伤害27%\n土属性减伤27%</t>
  </si>
  <si>
    <t>土属性伤害30%\n土属性减伤30%</t>
  </si>
  <si>
    <t>土属性伤害33%\n土属性减伤33%</t>
  </si>
  <si>
    <t>土属性伤害36%\n土属性减伤36%</t>
  </si>
  <si>
    <t>土属性伤害39%\n土属性减伤39%</t>
  </si>
  <si>
    <t>土属性伤害42%\n土属性减伤42%</t>
  </si>
  <si>
    <t>土属性伤害45%\n土属性减伤45%</t>
  </si>
  <si>
    <t>土属性伤害48%\n土属性减伤48%</t>
  </si>
  <si>
    <t>土属性伤害51%\n土属性减伤51%</t>
  </si>
  <si>
    <t>土属性伤害54%\n土属性减伤54%</t>
  </si>
  <si>
    <t>土属性伤害57%\n土属性减伤57%</t>
  </si>
  <si>
    <t>土属性伤害60%\n土属性减伤60%</t>
  </si>
  <si>
    <t>四象阵</t>
  </si>
  <si>
    <t>水属性伤害3%\n水属性减伤3%</t>
  </si>
  <si>
    <t>水属性伤害6%\n水属性减伤6%</t>
  </si>
  <si>
    <t>水属性伤害9%\n水属性减伤9%</t>
  </si>
  <si>
    <t>水属性伤害12%\n水属性减伤12%</t>
  </si>
  <si>
    <t>水属性伤害15%\n水属性减伤15%</t>
  </si>
  <si>
    <t>水属性伤害18%\n水属性减伤18%</t>
  </si>
  <si>
    <t>水属性伤害21%\n水属性减伤21%</t>
  </si>
  <si>
    <t>水属性伤害24%\n水属性减伤24%</t>
  </si>
  <si>
    <t>水属性伤害27%\n水属性减伤27%</t>
  </si>
  <si>
    <t>水属性伤害30%\n水属性减伤30%</t>
  </si>
  <si>
    <t>水属性伤害33%\n水属性减伤33%</t>
  </si>
  <si>
    <t>水属性伤害36%\n水属性减伤36%</t>
  </si>
  <si>
    <t>水属性伤害39%\n水属性减伤39%</t>
  </si>
  <si>
    <t>水属性伤害42%\n水属性减伤42%</t>
  </si>
  <si>
    <t>水属性伤害45%\n水属性减伤45%</t>
  </si>
  <si>
    <t>水属性伤害48%\n水属性减伤48%</t>
  </si>
  <si>
    <t>水属性伤害51%\n水属性减伤51%</t>
  </si>
  <si>
    <t>水属性伤害54%\n水属性减伤54%</t>
  </si>
  <si>
    <t>水属性伤害57%\n水属性减伤57%</t>
  </si>
  <si>
    <t>水属性伤害60%\n水属性减伤60%</t>
  </si>
  <si>
    <t>五行阵</t>
  </si>
  <si>
    <t>火属性伤害3%\n火属性减伤3%</t>
  </si>
  <si>
    <t>火属性伤害6%\n火属性减伤6%</t>
  </si>
  <si>
    <t>火属性伤害9%\n火属性减伤9%</t>
  </si>
  <si>
    <t>火属性伤害12%\n火属性减伤12%</t>
  </si>
  <si>
    <t>火属性伤害15%\n火属性减伤15%</t>
  </si>
  <si>
    <t>火属性伤害18%\n火属性减伤18%</t>
  </si>
  <si>
    <t>火属性伤害21%\n火属性减伤21%</t>
  </si>
  <si>
    <t>火属性伤害24%\n火属性减伤24%</t>
  </si>
  <si>
    <t>火属性伤害27%\n火属性减伤27%</t>
  </si>
  <si>
    <t>火属性伤害30%\n火属性减伤30%</t>
  </si>
  <si>
    <t>火属性伤害33%\n火属性减伤33%</t>
  </si>
  <si>
    <t>火属性伤害36%\n火属性减伤36%</t>
  </si>
  <si>
    <t>火属性伤害39%\n火属性减伤39%</t>
  </si>
  <si>
    <t>火属性伤害42%\n火属性减伤42%</t>
  </si>
  <si>
    <t>火属性伤害45%\n火属性减伤45%</t>
  </si>
  <si>
    <t>火属性伤害48%\n火属性减伤48%</t>
  </si>
  <si>
    <t>火属性伤害51%\n火属性减伤51%</t>
  </si>
  <si>
    <t>火属性伤害54%\n火属性减伤54%</t>
  </si>
  <si>
    <t>火属性伤害57%\n火属性减伤57%</t>
  </si>
  <si>
    <t>火属性伤害60%\n火属性减伤60%</t>
  </si>
  <si>
    <t>六合阵</t>
  </si>
  <si>
    <t>治疗效果3%\n禁疗效果3%</t>
  </si>
  <si>
    <t>治疗效果5%\n禁疗效果5%</t>
  </si>
  <si>
    <t>治疗效果8%\n禁疗效果8%</t>
  </si>
  <si>
    <t>治疗效果10%\n禁疗效果10%</t>
  </si>
  <si>
    <t>治疗效果13%\n禁疗效果13%</t>
  </si>
  <si>
    <t>治疗效果15%\n禁疗效果15%</t>
  </si>
  <si>
    <t>治疗效果18%\n禁疗效果18%</t>
  </si>
  <si>
    <t>治疗效果20%\n禁疗效果20%</t>
  </si>
  <si>
    <t>治疗效果23%\n禁疗效果23%</t>
  </si>
  <si>
    <t>治疗效果25%\n禁疗效果25%</t>
  </si>
  <si>
    <t>治疗效果28%\n禁疗效果28%</t>
  </si>
  <si>
    <t>治疗效果30%\n禁疗效果30%</t>
  </si>
  <si>
    <t>治疗效果33%\n禁疗效果33%</t>
  </si>
  <si>
    <t>治疗效果35%\n禁疗效果35%</t>
  </si>
  <si>
    <t>治疗效果38%\n禁疗效果38%</t>
  </si>
  <si>
    <t>治疗效果40%\n禁疗效果40%</t>
  </si>
  <si>
    <t>治疗效果43%\n禁疗效果43%</t>
  </si>
  <si>
    <t>治疗效果45%\n禁疗效果45%</t>
  </si>
  <si>
    <t>治疗效果48%\n禁疗效果48%</t>
  </si>
  <si>
    <t>治疗效果50%\n禁疗效果50%</t>
  </si>
  <si>
    <t>七星阵</t>
  </si>
  <si>
    <t>吸血效果2%\n禁吸血效果2%</t>
  </si>
  <si>
    <t>吸血效果4%\n禁吸血效果4%</t>
  </si>
  <si>
    <t>吸血效果6%\n禁吸血效果6%</t>
  </si>
  <si>
    <t>吸血效果8%\n禁吸血效果8%</t>
  </si>
  <si>
    <t>吸血效果10%\n禁吸血效果10%</t>
  </si>
  <si>
    <t>吸血效果12%\n禁吸血效果12%</t>
  </si>
  <si>
    <t>吸血效果14%\n禁吸血效果14%</t>
  </si>
  <si>
    <t>吸血效果16%\n禁吸血效果16%</t>
  </si>
  <si>
    <t>吸血效果18%\n禁吸血效果18%</t>
  </si>
  <si>
    <t>吸血效果20%\n禁吸血效果20%</t>
  </si>
  <si>
    <t>吸血效果22%\n禁吸血效果22%</t>
  </si>
  <si>
    <t>吸血效果24%\n禁吸血效果24%</t>
  </si>
  <si>
    <t>吸血效果26%\n禁吸血效果26%</t>
  </si>
  <si>
    <t>吸血效果28%\n禁吸血效果28%</t>
  </si>
  <si>
    <t>吸血效果30%\n禁吸血效果30%</t>
  </si>
  <si>
    <t>吸血效果32%\n禁吸血效果32%</t>
  </si>
  <si>
    <t>吸血效果34%\n禁吸血效果34%</t>
  </si>
  <si>
    <t>吸血效果36%\n禁吸血效果36%</t>
  </si>
  <si>
    <t>吸血效果38%\n禁吸血效果38%</t>
  </si>
  <si>
    <t>吸血效果40%\n禁吸血效果40%</t>
  </si>
  <si>
    <t>八卦阵</t>
  </si>
  <si>
    <t>减免伤害2%</t>
  </si>
  <si>
    <t>减免伤害4%</t>
  </si>
  <si>
    <t>减免伤害6%</t>
  </si>
  <si>
    <t>减免伤害8%</t>
  </si>
  <si>
    <t>减免伤害10%</t>
  </si>
  <si>
    <t>减免伤害12%</t>
  </si>
  <si>
    <t>减免伤害14%</t>
  </si>
  <si>
    <t>减免伤害16%</t>
  </si>
  <si>
    <t>减免伤害18%</t>
  </si>
  <si>
    <t>减免伤害20%</t>
  </si>
  <si>
    <t>减免伤害22%</t>
  </si>
  <si>
    <t>减免伤害24%</t>
  </si>
  <si>
    <t>减免伤害26%</t>
  </si>
  <si>
    <t>减免伤害28%</t>
  </si>
  <si>
    <t>减免伤害30%</t>
  </si>
  <si>
    <t>减免伤害32%</t>
  </si>
  <si>
    <t>减免伤害34%</t>
  </si>
  <si>
    <t>减免伤害36%</t>
  </si>
  <si>
    <t>减免伤害38%</t>
  </si>
  <si>
    <t>减免伤害40%</t>
  </si>
  <si>
    <t>九宫阵</t>
  </si>
  <si>
    <t>增加伤害2%</t>
  </si>
  <si>
    <t>增加伤害4%</t>
  </si>
  <si>
    <t>增加伤害6%</t>
  </si>
  <si>
    <t>增加伤害8%</t>
  </si>
  <si>
    <t>增加伤害10%</t>
  </si>
  <si>
    <t>增加伤害12%</t>
  </si>
  <si>
    <t>增加伤害14%</t>
  </si>
  <si>
    <t>增加伤害16%</t>
  </si>
  <si>
    <t>增加伤害18%</t>
  </si>
  <si>
    <t>增加伤害20%</t>
  </si>
  <si>
    <t>增加伤害22%</t>
  </si>
  <si>
    <t>增加伤害24%</t>
  </si>
  <si>
    <t>增加伤害26%</t>
  </si>
  <si>
    <t>增加伤害28%</t>
  </si>
  <si>
    <t>增加伤害30%</t>
  </si>
  <si>
    <t>增加伤害32%</t>
  </si>
  <si>
    <t>增加伤害34%</t>
  </si>
  <si>
    <t>增加伤害36%</t>
  </si>
  <si>
    <t>增加伤害38%</t>
  </si>
  <si>
    <t>增加伤害40%</t>
  </si>
  <si>
    <t>lvExp</t>
  </si>
  <si>
    <t>ZhanfaBaseExp</t>
  </si>
  <si>
    <t>baseAttrValue</t>
  </si>
  <si>
    <t>reward</t>
  </si>
  <si>
    <t>ZhenfaRecoverTime</t>
  </si>
  <si>
    <t>(list#sep=;),Property.PropertyData</t>
  </si>
  <si>
    <t>s</t>
  </si>
  <si>
    <t>升级经验</t>
  </si>
  <si>
    <t>自身修炼值/秒</t>
  </si>
  <si>
    <t>增益-基础属性</t>
  </si>
  <si>
    <t>解锁阵法组</t>
  </si>
  <si>
    <t>虚弱时间，秒</t>
  </si>
  <si>
    <t>29,2,250;1,1,100;4,1,3000</t>
  </si>
  <si>
    <t>29,2,500;1,1,200;4,1,6000</t>
  </si>
  <si>
    <t>29,2,750;1,1,300;4,1,9000</t>
  </si>
  <si>
    <t>29,2,1000;1,1,400;4,1,12000</t>
  </si>
  <si>
    <t>29,2,1250;1,1,500;4,1,15000</t>
  </si>
  <si>
    <t>29,2,1500;1,1,600;4,1,18000</t>
  </si>
  <si>
    <t>29,2,1750;1,1,700;4,1,21000</t>
  </si>
  <si>
    <t>29,2,2000;1,1,800;4,1,24000</t>
  </si>
  <si>
    <t>29,2,2250;1,1,900;4,1,27000</t>
  </si>
  <si>
    <t>29,2,2500;1,1,1000;4,1,30000</t>
  </si>
  <si>
    <t>29,2,2750;1,1,1100;4,1,33000</t>
  </si>
  <si>
    <t>29,2,3000;1,1,1200;4,1,36000</t>
  </si>
  <si>
    <t>29,2,3250;1,1,1300;4,1,39000</t>
  </si>
  <si>
    <t>29,2,3500;1,1,1400;4,1,42000</t>
  </si>
  <si>
    <t>29,2,3750;1,1,1500;4,1,45000</t>
  </si>
  <si>
    <t>29,2,4000;1,1,1600;4,1,48000</t>
  </si>
  <si>
    <t>29,2,4250;1,1,1700;4,1,51000</t>
  </si>
  <si>
    <t>29,2,4500;1,1,1800;4,1,54000</t>
  </si>
  <si>
    <t>29,2,4750;1,1,1900;4,1,57000</t>
  </si>
  <si>
    <t>29,2,5000;1,1,2000;4,1,60000</t>
  </si>
  <si>
    <t>unlockLevel</t>
  </si>
  <si>
    <t>icon</t>
  </si>
  <si>
    <t>解锁等级</t>
  </si>
  <si>
    <t>GoodsIcon/Icon_1001</t>
  </si>
  <si>
    <t>GoodsIcon/Icon_1002</t>
  </si>
  <si>
    <t>GoodsIcon/Icon_1003</t>
  </si>
  <si>
    <t>GoodsIcon/Icon_1004</t>
  </si>
  <si>
    <t>GoodsIcon/Icon_1005</t>
  </si>
  <si>
    <t>GoodsIcon/Icon_1006</t>
  </si>
  <si>
    <t>GoodsIcon/Icon_1007</t>
  </si>
  <si>
    <t>GoodsIcon/Icon_1008</t>
  </si>
  <si>
    <t>被击杀对方阵法增加经验</t>
    <phoneticPr fontId="5" type="noConversion"/>
  </si>
  <si>
    <t>killZhenfaExp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</si>
</sst>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1" fillId="2" borderId="1" xfId="1" applyBorder="1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3" fillId="3" borderId="1" xfId="2" applyBorder="1" applyAlignment="1"/>
    <xf numFmtId="0" fontId="2" fillId="0" borderId="0" xfId="0" applyFont="1">
      <alignment vertical="center"/>
    </xf>
    <xf numFmtId="0" fontId="0" fillId="0" borderId="0" xfId="0" applyAlignment="1">
      <alignment horizontal="center"/>
    </xf>
    <xf numFmtId="49" fontId="2" fillId="0" borderId="0" xfId="0" applyNumberFormat="1" applyFont="1">
      <alignment vertical="center"/>
    </xf>
    <xf numFmtId="0" fontId="2" fillId="0" borderId="0" xfId="0" applyFont="1" applyAlignment="1">
      <alignment horizontal="left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5"/>
  <sheetViews>
    <sheetView workbookViewId="0">
      <selection activeCell="E16" sqref="E16"/>
    </sheetView>
  </sheetViews>
  <sheetFormatPr defaultColWidth="9" defaultRowHeight="13.5" x14ac:dyDescent="0.3"/>
  <cols>
    <col min="6" max="6" width="44.06640625" customWidth="1"/>
  </cols>
  <sheetData>
    <row r="1" spans="1:10" x14ac:dyDescent="0.3">
      <c r="A1" s="2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I1" s="7" t="s">
        <v>7</v>
      </c>
      <c r="J1" s="7" t="s">
        <v>7</v>
      </c>
    </row>
    <row r="2" spans="1:10" x14ac:dyDescent="0.3">
      <c r="A2" s="2" t="s">
        <v>0</v>
      </c>
      <c r="B2" s="3"/>
    </row>
    <row r="3" spans="1:10" x14ac:dyDescent="0.3">
      <c r="A3" s="6" t="s">
        <v>8</v>
      </c>
      <c r="B3" s="3" t="s">
        <v>9</v>
      </c>
      <c r="C3" t="s">
        <v>10</v>
      </c>
      <c r="D3" s="3" t="s">
        <v>9</v>
      </c>
      <c r="E3" s="3" t="s">
        <v>9</v>
      </c>
      <c r="F3" s="7" t="s">
        <v>11</v>
      </c>
      <c r="G3" t="s">
        <v>10</v>
      </c>
    </row>
    <row r="4" spans="1:10" x14ac:dyDescent="0.3">
      <c r="A4" s="6" t="s">
        <v>12</v>
      </c>
      <c r="B4" s="3"/>
      <c r="F4" s="9" t="s">
        <v>13</v>
      </c>
      <c r="G4" s="9" t="s">
        <v>13</v>
      </c>
    </row>
    <row r="5" spans="1:10" x14ac:dyDescent="0.3">
      <c r="A5" s="2" t="s">
        <v>7</v>
      </c>
      <c r="B5" s="3" t="s">
        <v>14</v>
      </c>
      <c r="C5" t="s">
        <v>15</v>
      </c>
      <c r="D5" s="7" t="s">
        <v>16</v>
      </c>
      <c r="E5" s="7" t="s">
        <v>17</v>
      </c>
      <c r="F5" s="5" t="s">
        <v>18</v>
      </c>
      <c r="G5" s="7" t="s">
        <v>19</v>
      </c>
    </row>
    <row r="6" spans="1:10" x14ac:dyDescent="0.3">
      <c r="A6" s="1"/>
      <c r="B6" s="3">
        <v>3001</v>
      </c>
      <c r="C6" s="7" t="s">
        <v>20</v>
      </c>
      <c r="D6" s="10">
        <v>101</v>
      </c>
      <c r="E6" s="10">
        <v>1</v>
      </c>
      <c r="F6" s="5" t="str">
        <f>_xlfn.TEXTJOIN(";",1,I6:J6)</f>
        <v>20001;20101</v>
      </c>
      <c r="G6" t="s">
        <v>21</v>
      </c>
      <c r="I6">
        <v>20001</v>
      </c>
      <c r="J6">
        <f>I6+100</f>
        <v>20101</v>
      </c>
    </row>
    <row r="7" spans="1:10" x14ac:dyDescent="0.3">
      <c r="B7" s="3">
        <v>3002</v>
      </c>
      <c r="C7" s="7" t="s">
        <v>20</v>
      </c>
      <c r="D7" s="10">
        <v>101</v>
      </c>
      <c r="E7" s="10">
        <v>2</v>
      </c>
      <c r="F7" s="5" t="str">
        <f t="shared" ref="F7:F70" si="0">_xlfn.TEXTJOIN(";",1,I7:J7)</f>
        <v>20002;20102</v>
      </c>
      <c r="G7" t="s">
        <v>22</v>
      </c>
      <c r="I7">
        <v>20002</v>
      </c>
      <c r="J7">
        <f t="shared" ref="J7:J70" si="1">I7+100</f>
        <v>20102</v>
      </c>
    </row>
    <row r="8" spans="1:10" x14ac:dyDescent="0.3">
      <c r="B8" s="3">
        <v>3003</v>
      </c>
      <c r="C8" s="7" t="s">
        <v>20</v>
      </c>
      <c r="D8" s="10">
        <v>101</v>
      </c>
      <c r="E8" s="10">
        <v>3</v>
      </c>
      <c r="F8" s="5" t="str">
        <f t="shared" si="0"/>
        <v>20003;20103</v>
      </c>
      <c r="G8" t="s">
        <v>23</v>
      </c>
      <c r="I8">
        <v>20003</v>
      </c>
      <c r="J8">
        <f t="shared" si="1"/>
        <v>20103</v>
      </c>
    </row>
    <row r="9" spans="1:10" x14ac:dyDescent="0.3">
      <c r="B9" s="3">
        <v>3004</v>
      </c>
      <c r="C9" s="7" t="s">
        <v>20</v>
      </c>
      <c r="D9" s="10">
        <v>101</v>
      </c>
      <c r="E9" s="10">
        <v>4</v>
      </c>
      <c r="F9" s="5" t="str">
        <f t="shared" si="0"/>
        <v>20004;20104</v>
      </c>
      <c r="G9" t="s">
        <v>24</v>
      </c>
      <c r="I9">
        <v>20004</v>
      </c>
      <c r="J9">
        <f t="shared" si="1"/>
        <v>20104</v>
      </c>
    </row>
    <row r="10" spans="1:10" x14ac:dyDescent="0.3">
      <c r="B10" s="3">
        <v>3005</v>
      </c>
      <c r="C10" s="7" t="s">
        <v>20</v>
      </c>
      <c r="D10" s="10">
        <v>101</v>
      </c>
      <c r="E10" s="10">
        <v>5</v>
      </c>
      <c r="F10" s="5" t="str">
        <f t="shared" si="0"/>
        <v>20005;20105</v>
      </c>
      <c r="G10" t="s">
        <v>25</v>
      </c>
      <c r="I10">
        <v>20005</v>
      </c>
      <c r="J10">
        <f t="shared" si="1"/>
        <v>20105</v>
      </c>
    </row>
    <row r="11" spans="1:10" x14ac:dyDescent="0.3">
      <c r="B11" s="3">
        <v>3006</v>
      </c>
      <c r="C11" s="7" t="s">
        <v>20</v>
      </c>
      <c r="D11" s="10">
        <v>101</v>
      </c>
      <c r="E11" s="10">
        <v>6</v>
      </c>
      <c r="F11" s="5" t="str">
        <f t="shared" si="0"/>
        <v>20006;20106</v>
      </c>
      <c r="G11" t="s">
        <v>26</v>
      </c>
      <c r="I11">
        <v>20006</v>
      </c>
      <c r="J11">
        <f t="shared" si="1"/>
        <v>20106</v>
      </c>
    </row>
    <row r="12" spans="1:10" x14ac:dyDescent="0.3">
      <c r="B12" s="3">
        <v>3007</v>
      </c>
      <c r="C12" s="7" t="s">
        <v>20</v>
      </c>
      <c r="D12" s="10">
        <v>101</v>
      </c>
      <c r="E12" s="10">
        <v>7</v>
      </c>
      <c r="F12" s="5" t="str">
        <f t="shared" si="0"/>
        <v>20007;20107</v>
      </c>
      <c r="G12" t="s">
        <v>27</v>
      </c>
      <c r="I12">
        <v>20007</v>
      </c>
      <c r="J12">
        <f t="shared" si="1"/>
        <v>20107</v>
      </c>
    </row>
    <row r="13" spans="1:10" x14ac:dyDescent="0.3">
      <c r="B13" s="3">
        <v>3008</v>
      </c>
      <c r="C13" s="7" t="s">
        <v>20</v>
      </c>
      <c r="D13" s="10">
        <v>101</v>
      </c>
      <c r="E13" s="10">
        <v>8</v>
      </c>
      <c r="F13" s="5" t="str">
        <f t="shared" si="0"/>
        <v>20008;20108</v>
      </c>
      <c r="G13" t="s">
        <v>28</v>
      </c>
      <c r="I13">
        <v>20008</v>
      </c>
      <c r="J13">
        <f t="shared" si="1"/>
        <v>20108</v>
      </c>
    </row>
    <row r="14" spans="1:10" x14ac:dyDescent="0.3">
      <c r="B14" s="3">
        <v>3009</v>
      </c>
      <c r="C14" s="7" t="s">
        <v>20</v>
      </c>
      <c r="D14" s="10">
        <v>101</v>
      </c>
      <c r="E14" s="10">
        <v>9</v>
      </c>
      <c r="F14" s="5" t="str">
        <f t="shared" si="0"/>
        <v>20009;20109</v>
      </c>
      <c r="G14" t="s">
        <v>29</v>
      </c>
      <c r="I14">
        <v>20009</v>
      </c>
      <c r="J14">
        <f t="shared" si="1"/>
        <v>20109</v>
      </c>
    </row>
    <row r="15" spans="1:10" x14ac:dyDescent="0.3">
      <c r="B15" s="3">
        <v>3010</v>
      </c>
      <c r="C15" s="7" t="s">
        <v>20</v>
      </c>
      <c r="D15" s="10">
        <v>101</v>
      </c>
      <c r="E15" s="10">
        <v>10</v>
      </c>
      <c r="F15" s="5" t="str">
        <f t="shared" si="0"/>
        <v>20010;20110</v>
      </c>
      <c r="G15" t="s">
        <v>30</v>
      </c>
      <c r="I15">
        <v>20010</v>
      </c>
      <c r="J15">
        <f t="shared" si="1"/>
        <v>20110</v>
      </c>
    </row>
    <row r="16" spans="1:10" x14ac:dyDescent="0.3">
      <c r="B16" s="3">
        <v>3011</v>
      </c>
      <c r="C16" s="7" t="s">
        <v>20</v>
      </c>
      <c r="D16" s="10">
        <v>101</v>
      </c>
      <c r="E16" s="10">
        <v>11</v>
      </c>
      <c r="F16" s="5" t="str">
        <f t="shared" si="0"/>
        <v>20011;20111</v>
      </c>
      <c r="G16" t="s">
        <v>31</v>
      </c>
      <c r="I16">
        <v>20011</v>
      </c>
      <c r="J16">
        <f t="shared" si="1"/>
        <v>20111</v>
      </c>
    </row>
    <row r="17" spans="2:10" x14ac:dyDescent="0.3">
      <c r="B17" s="3">
        <v>3012</v>
      </c>
      <c r="C17" s="7" t="s">
        <v>20</v>
      </c>
      <c r="D17" s="10">
        <v>101</v>
      </c>
      <c r="E17" s="10">
        <v>12</v>
      </c>
      <c r="F17" s="5" t="str">
        <f t="shared" si="0"/>
        <v>20012;20112</v>
      </c>
      <c r="G17" t="s">
        <v>32</v>
      </c>
      <c r="I17">
        <v>20012</v>
      </c>
      <c r="J17">
        <f t="shared" si="1"/>
        <v>20112</v>
      </c>
    </row>
    <row r="18" spans="2:10" x14ac:dyDescent="0.3">
      <c r="B18" s="3">
        <v>3013</v>
      </c>
      <c r="C18" s="7" t="s">
        <v>20</v>
      </c>
      <c r="D18" s="10">
        <v>101</v>
      </c>
      <c r="E18" s="10">
        <v>13</v>
      </c>
      <c r="F18" s="5" t="str">
        <f t="shared" si="0"/>
        <v>20013;20113</v>
      </c>
      <c r="G18" t="s">
        <v>33</v>
      </c>
      <c r="I18">
        <v>20013</v>
      </c>
      <c r="J18">
        <f t="shared" si="1"/>
        <v>20113</v>
      </c>
    </row>
    <row r="19" spans="2:10" x14ac:dyDescent="0.3">
      <c r="B19" s="3">
        <v>3014</v>
      </c>
      <c r="C19" s="7" t="s">
        <v>20</v>
      </c>
      <c r="D19" s="10">
        <v>101</v>
      </c>
      <c r="E19" s="10">
        <v>14</v>
      </c>
      <c r="F19" s="5" t="str">
        <f t="shared" si="0"/>
        <v>20014;20114</v>
      </c>
      <c r="G19" t="s">
        <v>34</v>
      </c>
      <c r="I19">
        <v>20014</v>
      </c>
      <c r="J19">
        <f t="shared" si="1"/>
        <v>20114</v>
      </c>
    </row>
    <row r="20" spans="2:10" x14ac:dyDescent="0.3">
      <c r="B20" s="3">
        <v>3015</v>
      </c>
      <c r="C20" s="7" t="s">
        <v>20</v>
      </c>
      <c r="D20" s="10">
        <v>101</v>
      </c>
      <c r="E20" s="10">
        <v>15</v>
      </c>
      <c r="F20" s="5" t="str">
        <f t="shared" si="0"/>
        <v>20015;20115</v>
      </c>
      <c r="G20" t="s">
        <v>35</v>
      </c>
      <c r="I20">
        <v>20015</v>
      </c>
      <c r="J20">
        <f t="shared" si="1"/>
        <v>20115</v>
      </c>
    </row>
    <row r="21" spans="2:10" x14ac:dyDescent="0.3">
      <c r="B21" s="3">
        <v>3016</v>
      </c>
      <c r="C21" s="7" t="s">
        <v>20</v>
      </c>
      <c r="D21" s="10">
        <v>101</v>
      </c>
      <c r="E21" s="10">
        <v>16</v>
      </c>
      <c r="F21" s="5" t="str">
        <f t="shared" si="0"/>
        <v>20016;20116</v>
      </c>
      <c r="G21" t="s">
        <v>36</v>
      </c>
      <c r="I21">
        <v>20016</v>
      </c>
      <c r="J21">
        <f t="shared" si="1"/>
        <v>20116</v>
      </c>
    </row>
    <row r="22" spans="2:10" x14ac:dyDescent="0.3">
      <c r="B22" s="3">
        <v>3017</v>
      </c>
      <c r="C22" s="7" t="s">
        <v>20</v>
      </c>
      <c r="D22" s="10">
        <v>101</v>
      </c>
      <c r="E22" s="10">
        <v>17</v>
      </c>
      <c r="F22" s="5" t="str">
        <f t="shared" si="0"/>
        <v>20017;20117</v>
      </c>
      <c r="G22" t="s">
        <v>37</v>
      </c>
      <c r="I22">
        <v>20017</v>
      </c>
      <c r="J22">
        <f t="shared" si="1"/>
        <v>20117</v>
      </c>
    </row>
    <row r="23" spans="2:10" x14ac:dyDescent="0.3">
      <c r="B23" s="3">
        <v>3018</v>
      </c>
      <c r="C23" s="7" t="s">
        <v>20</v>
      </c>
      <c r="D23" s="10">
        <v>101</v>
      </c>
      <c r="E23" s="10">
        <v>18</v>
      </c>
      <c r="F23" s="5" t="str">
        <f t="shared" si="0"/>
        <v>20018;20118</v>
      </c>
      <c r="G23" t="s">
        <v>38</v>
      </c>
      <c r="I23">
        <v>20018</v>
      </c>
      <c r="J23">
        <f t="shared" si="1"/>
        <v>20118</v>
      </c>
    </row>
    <row r="24" spans="2:10" x14ac:dyDescent="0.3">
      <c r="B24" s="3">
        <v>3019</v>
      </c>
      <c r="C24" s="7" t="s">
        <v>20</v>
      </c>
      <c r="D24" s="10">
        <v>101</v>
      </c>
      <c r="E24" s="10">
        <v>19</v>
      </c>
      <c r="F24" s="5" t="str">
        <f t="shared" si="0"/>
        <v>20019;20119</v>
      </c>
      <c r="G24" t="s">
        <v>39</v>
      </c>
      <c r="I24">
        <v>20019</v>
      </c>
      <c r="J24">
        <f t="shared" si="1"/>
        <v>20119</v>
      </c>
    </row>
    <row r="25" spans="2:10" x14ac:dyDescent="0.3">
      <c r="B25" s="3">
        <v>3020</v>
      </c>
      <c r="C25" s="7" t="s">
        <v>20</v>
      </c>
      <c r="D25" s="10">
        <v>101</v>
      </c>
      <c r="E25" s="10">
        <v>20</v>
      </c>
      <c r="F25" s="5" t="str">
        <f t="shared" si="0"/>
        <v>20020;20120</v>
      </c>
      <c r="G25" t="s">
        <v>40</v>
      </c>
      <c r="I25">
        <v>20020</v>
      </c>
      <c r="J25">
        <f t="shared" si="1"/>
        <v>20120</v>
      </c>
    </row>
    <row r="26" spans="2:10" x14ac:dyDescent="0.3">
      <c r="B26" s="3">
        <v>3101</v>
      </c>
      <c r="C26" s="7" t="s">
        <v>41</v>
      </c>
      <c r="D26" s="10">
        <f>D6+1</f>
        <v>102</v>
      </c>
      <c r="E26" s="10">
        <f>E6</f>
        <v>1</v>
      </c>
      <c r="F26" s="5" t="str">
        <f t="shared" si="0"/>
        <v>20201;20301</v>
      </c>
      <c r="G26" t="s">
        <v>42</v>
      </c>
      <c r="I26">
        <f>I6+200</f>
        <v>20201</v>
      </c>
      <c r="J26">
        <f t="shared" si="1"/>
        <v>20301</v>
      </c>
    </row>
    <row r="27" spans="2:10" x14ac:dyDescent="0.3">
      <c r="B27" s="3">
        <v>3102</v>
      </c>
      <c r="C27" s="7" t="s">
        <v>41</v>
      </c>
      <c r="D27" s="10">
        <f t="shared" ref="D27:D90" si="2">D7+1</f>
        <v>102</v>
      </c>
      <c r="E27" s="10">
        <f t="shared" ref="E27:E90" si="3">E7</f>
        <v>2</v>
      </c>
      <c r="F27" s="5" t="str">
        <f t="shared" si="0"/>
        <v>20202;20302</v>
      </c>
      <c r="G27" t="s">
        <v>43</v>
      </c>
      <c r="I27">
        <f t="shared" ref="I27:I90" si="4">I7+200</f>
        <v>20202</v>
      </c>
      <c r="J27">
        <f t="shared" si="1"/>
        <v>20302</v>
      </c>
    </row>
    <row r="28" spans="2:10" x14ac:dyDescent="0.3">
      <c r="B28" s="3">
        <v>3103</v>
      </c>
      <c r="C28" s="7" t="s">
        <v>41</v>
      </c>
      <c r="D28" s="10">
        <f t="shared" si="2"/>
        <v>102</v>
      </c>
      <c r="E28" s="10">
        <f t="shared" si="3"/>
        <v>3</v>
      </c>
      <c r="F28" s="5" t="str">
        <f t="shared" si="0"/>
        <v>20203;20303</v>
      </c>
      <c r="G28" t="s">
        <v>44</v>
      </c>
      <c r="I28">
        <f t="shared" si="4"/>
        <v>20203</v>
      </c>
      <c r="J28">
        <f t="shared" si="1"/>
        <v>20303</v>
      </c>
    </row>
    <row r="29" spans="2:10" x14ac:dyDescent="0.3">
      <c r="B29" s="3">
        <v>3104</v>
      </c>
      <c r="C29" s="7" t="s">
        <v>41</v>
      </c>
      <c r="D29" s="10">
        <f t="shared" si="2"/>
        <v>102</v>
      </c>
      <c r="E29" s="10">
        <f t="shared" si="3"/>
        <v>4</v>
      </c>
      <c r="F29" s="5" t="str">
        <f t="shared" si="0"/>
        <v>20204;20304</v>
      </c>
      <c r="G29" t="s">
        <v>45</v>
      </c>
      <c r="I29">
        <f t="shared" si="4"/>
        <v>20204</v>
      </c>
      <c r="J29">
        <f t="shared" si="1"/>
        <v>20304</v>
      </c>
    </row>
    <row r="30" spans="2:10" x14ac:dyDescent="0.3">
      <c r="B30" s="3">
        <v>3105</v>
      </c>
      <c r="C30" s="7" t="s">
        <v>41</v>
      </c>
      <c r="D30" s="10">
        <f t="shared" si="2"/>
        <v>102</v>
      </c>
      <c r="E30" s="10">
        <f t="shared" si="3"/>
        <v>5</v>
      </c>
      <c r="F30" s="5" t="str">
        <f t="shared" si="0"/>
        <v>20205;20305</v>
      </c>
      <c r="G30" t="s">
        <v>46</v>
      </c>
      <c r="I30">
        <f t="shared" si="4"/>
        <v>20205</v>
      </c>
      <c r="J30">
        <f t="shared" si="1"/>
        <v>20305</v>
      </c>
    </row>
    <row r="31" spans="2:10" x14ac:dyDescent="0.3">
      <c r="B31" s="3">
        <v>3106</v>
      </c>
      <c r="C31" s="7" t="s">
        <v>41</v>
      </c>
      <c r="D31" s="10">
        <f t="shared" si="2"/>
        <v>102</v>
      </c>
      <c r="E31" s="10">
        <f t="shared" si="3"/>
        <v>6</v>
      </c>
      <c r="F31" s="5" t="str">
        <f t="shared" si="0"/>
        <v>20206;20306</v>
      </c>
      <c r="G31" t="s">
        <v>47</v>
      </c>
      <c r="I31">
        <f t="shared" si="4"/>
        <v>20206</v>
      </c>
      <c r="J31">
        <f t="shared" si="1"/>
        <v>20306</v>
      </c>
    </row>
    <row r="32" spans="2:10" x14ac:dyDescent="0.3">
      <c r="B32" s="3">
        <v>3107</v>
      </c>
      <c r="C32" s="7" t="s">
        <v>41</v>
      </c>
      <c r="D32" s="10">
        <f t="shared" si="2"/>
        <v>102</v>
      </c>
      <c r="E32" s="10">
        <f t="shared" si="3"/>
        <v>7</v>
      </c>
      <c r="F32" s="5" t="str">
        <f t="shared" si="0"/>
        <v>20207;20307</v>
      </c>
      <c r="G32" t="s">
        <v>48</v>
      </c>
      <c r="I32">
        <f t="shared" si="4"/>
        <v>20207</v>
      </c>
      <c r="J32">
        <f t="shared" si="1"/>
        <v>20307</v>
      </c>
    </row>
    <row r="33" spans="2:10" x14ac:dyDescent="0.3">
      <c r="B33" s="3">
        <v>3108</v>
      </c>
      <c r="C33" s="7" t="s">
        <v>41</v>
      </c>
      <c r="D33" s="10">
        <f t="shared" si="2"/>
        <v>102</v>
      </c>
      <c r="E33" s="10">
        <f t="shared" si="3"/>
        <v>8</v>
      </c>
      <c r="F33" s="5" t="str">
        <f t="shared" si="0"/>
        <v>20208;20308</v>
      </c>
      <c r="G33" t="s">
        <v>49</v>
      </c>
      <c r="I33">
        <f t="shared" si="4"/>
        <v>20208</v>
      </c>
      <c r="J33">
        <f t="shared" si="1"/>
        <v>20308</v>
      </c>
    </row>
    <row r="34" spans="2:10" x14ac:dyDescent="0.3">
      <c r="B34" s="3">
        <v>3109</v>
      </c>
      <c r="C34" s="7" t="s">
        <v>41</v>
      </c>
      <c r="D34" s="10">
        <f t="shared" si="2"/>
        <v>102</v>
      </c>
      <c r="E34" s="10">
        <f t="shared" si="3"/>
        <v>9</v>
      </c>
      <c r="F34" s="5" t="str">
        <f t="shared" si="0"/>
        <v>20209;20309</v>
      </c>
      <c r="G34" t="s">
        <v>50</v>
      </c>
      <c r="I34">
        <f t="shared" si="4"/>
        <v>20209</v>
      </c>
      <c r="J34">
        <f t="shared" si="1"/>
        <v>20309</v>
      </c>
    </row>
    <row r="35" spans="2:10" x14ac:dyDescent="0.3">
      <c r="B35" s="3">
        <v>3110</v>
      </c>
      <c r="C35" s="7" t="s">
        <v>41</v>
      </c>
      <c r="D35" s="10">
        <f t="shared" si="2"/>
        <v>102</v>
      </c>
      <c r="E35" s="10">
        <f t="shared" si="3"/>
        <v>10</v>
      </c>
      <c r="F35" s="5" t="str">
        <f t="shared" si="0"/>
        <v>20210;20310</v>
      </c>
      <c r="G35" t="s">
        <v>51</v>
      </c>
      <c r="I35">
        <f t="shared" si="4"/>
        <v>20210</v>
      </c>
      <c r="J35">
        <f t="shared" si="1"/>
        <v>20310</v>
      </c>
    </row>
    <row r="36" spans="2:10" x14ac:dyDescent="0.3">
      <c r="B36" s="3">
        <v>3111</v>
      </c>
      <c r="C36" s="7" t="s">
        <v>41</v>
      </c>
      <c r="D36" s="10">
        <f t="shared" si="2"/>
        <v>102</v>
      </c>
      <c r="E36" s="10">
        <f t="shared" si="3"/>
        <v>11</v>
      </c>
      <c r="F36" s="5" t="str">
        <f t="shared" si="0"/>
        <v>20211;20311</v>
      </c>
      <c r="G36" t="s">
        <v>52</v>
      </c>
      <c r="I36">
        <f t="shared" si="4"/>
        <v>20211</v>
      </c>
      <c r="J36">
        <f t="shared" si="1"/>
        <v>20311</v>
      </c>
    </row>
    <row r="37" spans="2:10" x14ac:dyDescent="0.3">
      <c r="B37" s="3">
        <v>3112</v>
      </c>
      <c r="C37" s="7" t="s">
        <v>41</v>
      </c>
      <c r="D37" s="10">
        <f t="shared" si="2"/>
        <v>102</v>
      </c>
      <c r="E37" s="10">
        <f t="shared" si="3"/>
        <v>12</v>
      </c>
      <c r="F37" s="5" t="str">
        <f t="shared" si="0"/>
        <v>20212;20312</v>
      </c>
      <c r="G37" t="s">
        <v>53</v>
      </c>
      <c r="I37">
        <f t="shared" si="4"/>
        <v>20212</v>
      </c>
      <c r="J37">
        <f t="shared" si="1"/>
        <v>20312</v>
      </c>
    </row>
    <row r="38" spans="2:10" x14ac:dyDescent="0.3">
      <c r="B38" s="3">
        <v>3113</v>
      </c>
      <c r="C38" s="7" t="s">
        <v>41</v>
      </c>
      <c r="D38" s="10">
        <f t="shared" si="2"/>
        <v>102</v>
      </c>
      <c r="E38" s="10">
        <f t="shared" si="3"/>
        <v>13</v>
      </c>
      <c r="F38" s="5" t="str">
        <f t="shared" si="0"/>
        <v>20213;20313</v>
      </c>
      <c r="G38" t="s">
        <v>54</v>
      </c>
      <c r="I38">
        <f t="shared" si="4"/>
        <v>20213</v>
      </c>
      <c r="J38">
        <f t="shared" si="1"/>
        <v>20313</v>
      </c>
    </row>
    <row r="39" spans="2:10" x14ac:dyDescent="0.3">
      <c r="B39" s="3">
        <v>3114</v>
      </c>
      <c r="C39" s="7" t="s">
        <v>41</v>
      </c>
      <c r="D39" s="10">
        <f t="shared" si="2"/>
        <v>102</v>
      </c>
      <c r="E39" s="10">
        <f t="shared" si="3"/>
        <v>14</v>
      </c>
      <c r="F39" s="5" t="str">
        <f t="shared" si="0"/>
        <v>20214;20314</v>
      </c>
      <c r="G39" t="s">
        <v>55</v>
      </c>
      <c r="I39">
        <f t="shared" si="4"/>
        <v>20214</v>
      </c>
      <c r="J39">
        <f t="shared" si="1"/>
        <v>20314</v>
      </c>
    </row>
    <row r="40" spans="2:10" x14ac:dyDescent="0.3">
      <c r="B40" s="3">
        <v>3115</v>
      </c>
      <c r="C40" s="7" t="s">
        <v>41</v>
      </c>
      <c r="D40" s="10">
        <f t="shared" si="2"/>
        <v>102</v>
      </c>
      <c r="E40" s="10">
        <f t="shared" si="3"/>
        <v>15</v>
      </c>
      <c r="F40" s="5" t="str">
        <f t="shared" si="0"/>
        <v>20215;20315</v>
      </c>
      <c r="G40" t="s">
        <v>56</v>
      </c>
      <c r="I40">
        <f t="shared" si="4"/>
        <v>20215</v>
      </c>
      <c r="J40">
        <f t="shared" si="1"/>
        <v>20315</v>
      </c>
    </row>
    <row r="41" spans="2:10" x14ac:dyDescent="0.3">
      <c r="B41" s="3">
        <v>3116</v>
      </c>
      <c r="C41" s="7" t="s">
        <v>41</v>
      </c>
      <c r="D41" s="10">
        <f t="shared" si="2"/>
        <v>102</v>
      </c>
      <c r="E41" s="10">
        <f t="shared" si="3"/>
        <v>16</v>
      </c>
      <c r="F41" s="5" t="str">
        <f t="shared" si="0"/>
        <v>20216;20316</v>
      </c>
      <c r="G41" t="s">
        <v>57</v>
      </c>
      <c r="I41">
        <f t="shared" si="4"/>
        <v>20216</v>
      </c>
      <c r="J41">
        <f t="shared" si="1"/>
        <v>20316</v>
      </c>
    </row>
    <row r="42" spans="2:10" x14ac:dyDescent="0.3">
      <c r="B42" s="3">
        <v>3117</v>
      </c>
      <c r="C42" s="7" t="s">
        <v>41</v>
      </c>
      <c r="D42" s="10">
        <f t="shared" si="2"/>
        <v>102</v>
      </c>
      <c r="E42" s="10">
        <f t="shared" si="3"/>
        <v>17</v>
      </c>
      <c r="F42" s="5" t="str">
        <f t="shared" si="0"/>
        <v>20217;20317</v>
      </c>
      <c r="G42" t="s">
        <v>58</v>
      </c>
      <c r="I42">
        <f t="shared" si="4"/>
        <v>20217</v>
      </c>
      <c r="J42">
        <f t="shared" si="1"/>
        <v>20317</v>
      </c>
    </row>
    <row r="43" spans="2:10" x14ac:dyDescent="0.3">
      <c r="B43" s="3">
        <v>3118</v>
      </c>
      <c r="C43" s="7" t="s">
        <v>41</v>
      </c>
      <c r="D43" s="10">
        <f t="shared" si="2"/>
        <v>102</v>
      </c>
      <c r="E43" s="10">
        <f t="shared" si="3"/>
        <v>18</v>
      </c>
      <c r="F43" s="5" t="str">
        <f t="shared" si="0"/>
        <v>20218;20318</v>
      </c>
      <c r="G43" t="s">
        <v>59</v>
      </c>
      <c r="I43">
        <f t="shared" si="4"/>
        <v>20218</v>
      </c>
      <c r="J43">
        <f t="shared" si="1"/>
        <v>20318</v>
      </c>
    </row>
    <row r="44" spans="2:10" x14ac:dyDescent="0.3">
      <c r="B44" s="3">
        <v>3119</v>
      </c>
      <c r="C44" s="7" t="s">
        <v>41</v>
      </c>
      <c r="D44" s="10">
        <f t="shared" si="2"/>
        <v>102</v>
      </c>
      <c r="E44" s="10">
        <f t="shared" si="3"/>
        <v>19</v>
      </c>
      <c r="F44" s="5" t="str">
        <f t="shared" si="0"/>
        <v>20219;20319</v>
      </c>
      <c r="G44" t="s">
        <v>60</v>
      </c>
      <c r="I44">
        <f t="shared" si="4"/>
        <v>20219</v>
      </c>
      <c r="J44">
        <f t="shared" si="1"/>
        <v>20319</v>
      </c>
    </row>
    <row r="45" spans="2:10" x14ac:dyDescent="0.3">
      <c r="B45" s="3">
        <v>3120</v>
      </c>
      <c r="C45" s="7" t="s">
        <v>41</v>
      </c>
      <c r="D45" s="10">
        <f t="shared" si="2"/>
        <v>102</v>
      </c>
      <c r="E45" s="10">
        <f t="shared" si="3"/>
        <v>20</v>
      </c>
      <c r="F45" s="5" t="str">
        <f t="shared" si="0"/>
        <v>20220;20320</v>
      </c>
      <c r="G45" t="s">
        <v>61</v>
      </c>
      <c r="I45">
        <f t="shared" si="4"/>
        <v>20220</v>
      </c>
      <c r="J45">
        <f t="shared" si="1"/>
        <v>20320</v>
      </c>
    </row>
    <row r="46" spans="2:10" x14ac:dyDescent="0.3">
      <c r="B46" s="3">
        <v>3201</v>
      </c>
      <c r="C46" s="7" t="s">
        <v>62</v>
      </c>
      <c r="D46" s="10">
        <f t="shared" si="2"/>
        <v>103</v>
      </c>
      <c r="E46" s="10">
        <f t="shared" si="3"/>
        <v>1</v>
      </c>
      <c r="F46" s="5" t="str">
        <f t="shared" si="0"/>
        <v>20401;20501</v>
      </c>
      <c r="G46" t="s">
        <v>63</v>
      </c>
      <c r="I46">
        <f t="shared" si="4"/>
        <v>20401</v>
      </c>
      <c r="J46">
        <f t="shared" si="1"/>
        <v>20501</v>
      </c>
    </row>
    <row r="47" spans="2:10" x14ac:dyDescent="0.3">
      <c r="B47" s="3">
        <v>3202</v>
      </c>
      <c r="C47" s="7" t="s">
        <v>62</v>
      </c>
      <c r="D47" s="10">
        <f t="shared" si="2"/>
        <v>103</v>
      </c>
      <c r="E47" s="10">
        <f t="shared" si="3"/>
        <v>2</v>
      </c>
      <c r="F47" s="5" t="str">
        <f t="shared" si="0"/>
        <v>20402;20502</v>
      </c>
      <c r="G47" t="s">
        <v>64</v>
      </c>
      <c r="I47">
        <f t="shared" si="4"/>
        <v>20402</v>
      </c>
      <c r="J47">
        <f t="shared" si="1"/>
        <v>20502</v>
      </c>
    </row>
    <row r="48" spans="2:10" x14ac:dyDescent="0.3">
      <c r="B48" s="3">
        <v>3203</v>
      </c>
      <c r="C48" s="7" t="s">
        <v>62</v>
      </c>
      <c r="D48" s="10">
        <f t="shared" si="2"/>
        <v>103</v>
      </c>
      <c r="E48" s="10">
        <f t="shared" si="3"/>
        <v>3</v>
      </c>
      <c r="F48" s="5" t="str">
        <f t="shared" si="0"/>
        <v>20403;20503</v>
      </c>
      <c r="G48" t="s">
        <v>65</v>
      </c>
      <c r="I48">
        <f t="shared" si="4"/>
        <v>20403</v>
      </c>
      <c r="J48">
        <f t="shared" si="1"/>
        <v>20503</v>
      </c>
    </row>
    <row r="49" spans="2:10" x14ac:dyDescent="0.3">
      <c r="B49" s="3">
        <v>3204</v>
      </c>
      <c r="C49" s="7" t="s">
        <v>62</v>
      </c>
      <c r="D49" s="10">
        <f t="shared" si="2"/>
        <v>103</v>
      </c>
      <c r="E49" s="10">
        <f t="shared" si="3"/>
        <v>4</v>
      </c>
      <c r="F49" s="5" t="str">
        <f t="shared" si="0"/>
        <v>20404;20504</v>
      </c>
      <c r="G49" t="s">
        <v>66</v>
      </c>
      <c r="I49">
        <f t="shared" si="4"/>
        <v>20404</v>
      </c>
      <c r="J49">
        <f t="shared" si="1"/>
        <v>20504</v>
      </c>
    </row>
    <row r="50" spans="2:10" x14ac:dyDescent="0.3">
      <c r="B50" s="3">
        <v>3205</v>
      </c>
      <c r="C50" s="7" t="s">
        <v>62</v>
      </c>
      <c r="D50" s="10">
        <f t="shared" si="2"/>
        <v>103</v>
      </c>
      <c r="E50" s="10">
        <f t="shared" si="3"/>
        <v>5</v>
      </c>
      <c r="F50" s="5" t="str">
        <f t="shared" si="0"/>
        <v>20405;20505</v>
      </c>
      <c r="G50" t="s">
        <v>67</v>
      </c>
      <c r="I50">
        <f t="shared" si="4"/>
        <v>20405</v>
      </c>
      <c r="J50">
        <f t="shared" si="1"/>
        <v>20505</v>
      </c>
    </row>
    <row r="51" spans="2:10" x14ac:dyDescent="0.3">
      <c r="B51" s="3">
        <v>3206</v>
      </c>
      <c r="C51" s="7" t="s">
        <v>62</v>
      </c>
      <c r="D51" s="10">
        <f t="shared" si="2"/>
        <v>103</v>
      </c>
      <c r="E51" s="10">
        <f t="shared" si="3"/>
        <v>6</v>
      </c>
      <c r="F51" s="5" t="str">
        <f t="shared" si="0"/>
        <v>20406;20506</v>
      </c>
      <c r="G51" t="s">
        <v>68</v>
      </c>
      <c r="I51">
        <f t="shared" si="4"/>
        <v>20406</v>
      </c>
      <c r="J51">
        <f t="shared" si="1"/>
        <v>20506</v>
      </c>
    </row>
    <row r="52" spans="2:10" x14ac:dyDescent="0.3">
      <c r="B52" s="3">
        <v>3207</v>
      </c>
      <c r="C52" s="7" t="s">
        <v>62</v>
      </c>
      <c r="D52" s="10">
        <f t="shared" si="2"/>
        <v>103</v>
      </c>
      <c r="E52" s="10">
        <f t="shared" si="3"/>
        <v>7</v>
      </c>
      <c r="F52" s="5" t="str">
        <f t="shared" si="0"/>
        <v>20407;20507</v>
      </c>
      <c r="G52" t="s">
        <v>69</v>
      </c>
      <c r="I52">
        <f t="shared" si="4"/>
        <v>20407</v>
      </c>
      <c r="J52">
        <f t="shared" si="1"/>
        <v>20507</v>
      </c>
    </row>
    <row r="53" spans="2:10" x14ac:dyDescent="0.3">
      <c r="B53" s="3">
        <v>3208</v>
      </c>
      <c r="C53" s="7" t="s">
        <v>62</v>
      </c>
      <c r="D53" s="10">
        <f t="shared" si="2"/>
        <v>103</v>
      </c>
      <c r="E53" s="10">
        <f t="shared" si="3"/>
        <v>8</v>
      </c>
      <c r="F53" s="5" t="str">
        <f t="shared" si="0"/>
        <v>20408;20508</v>
      </c>
      <c r="G53" t="s">
        <v>70</v>
      </c>
      <c r="I53">
        <f t="shared" si="4"/>
        <v>20408</v>
      </c>
      <c r="J53">
        <f t="shared" si="1"/>
        <v>20508</v>
      </c>
    </row>
    <row r="54" spans="2:10" x14ac:dyDescent="0.3">
      <c r="B54" s="3">
        <v>3209</v>
      </c>
      <c r="C54" s="7" t="s">
        <v>62</v>
      </c>
      <c r="D54" s="10">
        <f t="shared" si="2"/>
        <v>103</v>
      </c>
      <c r="E54" s="10">
        <f t="shared" si="3"/>
        <v>9</v>
      </c>
      <c r="F54" s="5" t="str">
        <f t="shared" si="0"/>
        <v>20409;20509</v>
      </c>
      <c r="G54" t="s">
        <v>71</v>
      </c>
      <c r="I54">
        <f t="shared" si="4"/>
        <v>20409</v>
      </c>
      <c r="J54">
        <f t="shared" si="1"/>
        <v>20509</v>
      </c>
    </row>
    <row r="55" spans="2:10" x14ac:dyDescent="0.3">
      <c r="B55" s="3">
        <v>3210</v>
      </c>
      <c r="C55" s="7" t="s">
        <v>62</v>
      </c>
      <c r="D55" s="10">
        <f t="shared" si="2"/>
        <v>103</v>
      </c>
      <c r="E55" s="10">
        <f t="shared" si="3"/>
        <v>10</v>
      </c>
      <c r="F55" s="5" t="str">
        <f t="shared" si="0"/>
        <v>20410;20510</v>
      </c>
      <c r="G55" t="s">
        <v>72</v>
      </c>
      <c r="I55">
        <f t="shared" si="4"/>
        <v>20410</v>
      </c>
      <c r="J55">
        <f t="shared" si="1"/>
        <v>20510</v>
      </c>
    </row>
    <row r="56" spans="2:10" x14ac:dyDescent="0.3">
      <c r="B56" s="3">
        <v>3211</v>
      </c>
      <c r="C56" s="7" t="s">
        <v>62</v>
      </c>
      <c r="D56" s="10">
        <f t="shared" si="2"/>
        <v>103</v>
      </c>
      <c r="E56" s="10">
        <f t="shared" si="3"/>
        <v>11</v>
      </c>
      <c r="F56" s="5" t="str">
        <f t="shared" si="0"/>
        <v>20411;20511</v>
      </c>
      <c r="G56" t="s">
        <v>73</v>
      </c>
      <c r="I56">
        <f t="shared" si="4"/>
        <v>20411</v>
      </c>
      <c r="J56">
        <f t="shared" si="1"/>
        <v>20511</v>
      </c>
    </row>
    <row r="57" spans="2:10" x14ac:dyDescent="0.3">
      <c r="B57" s="3">
        <v>3212</v>
      </c>
      <c r="C57" s="7" t="s">
        <v>62</v>
      </c>
      <c r="D57" s="10">
        <f t="shared" si="2"/>
        <v>103</v>
      </c>
      <c r="E57" s="10">
        <f t="shared" si="3"/>
        <v>12</v>
      </c>
      <c r="F57" s="5" t="str">
        <f t="shared" si="0"/>
        <v>20412;20512</v>
      </c>
      <c r="G57" t="s">
        <v>74</v>
      </c>
      <c r="I57">
        <f t="shared" si="4"/>
        <v>20412</v>
      </c>
      <c r="J57">
        <f t="shared" si="1"/>
        <v>20512</v>
      </c>
    </row>
    <row r="58" spans="2:10" x14ac:dyDescent="0.3">
      <c r="B58" s="3">
        <v>3213</v>
      </c>
      <c r="C58" s="7" t="s">
        <v>62</v>
      </c>
      <c r="D58" s="10">
        <f t="shared" si="2"/>
        <v>103</v>
      </c>
      <c r="E58" s="10">
        <f t="shared" si="3"/>
        <v>13</v>
      </c>
      <c r="F58" s="5" t="str">
        <f t="shared" si="0"/>
        <v>20413;20513</v>
      </c>
      <c r="G58" t="s">
        <v>75</v>
      </c>
      <c r="I58">
        <f t="shared" si="4"/>
        <v>20413</v>
      </c>
      <c r="J58">
        <f t="shared" si="1"/>
        <v>20513</v>
      </c>
    </row>
    <row r="59" spans="2:10" x14ac:dyDescent="0.3">
      <c r="B59" s="3">
        <v>3214</v>
      </c>
      <c r="C59" s="7" t="s">
        <v>62</v>
      </c>
      <c r="D59" s="10">
        <f t="shared" si="2"/>
        <v>103</v>
      </c>
      <c r="E59" s="10">
        <f t="shared" si="3"/>
        <v>14</v>
      </c>
      <c r="F59" s="5" t="str">
        <f t="shared" si="0"/>
        <v>20414;20514</v>
      </c>
      <c r="G59" t="s">
        <v>76</v>
      </c>
      <c r="I59">
        <f t="shared" si="4"/>
        <v>20414</v>
      </c>
      <c r="J59">
        <f t="shared" si="1"/>
        <v>20514</v>
      </c>
    </row>
    <row r="60" spans="2:10" x14ac:dyDescent="0.3">
      <c r="B60" s="3">
        <v>3215</v>
      </c>
      <c r="C60" s="7" t="s">
        <v>62</v>
      </c>
      <c r="D60" s="10">
        <f t="shared" si="2"/>
        <v>103</v>
      </c>
      <c r="E60" s="10">
        <f t="shared" si="3"/>
        <v>15</v>
      </c>
      <c r="F60" s="5" t="str">
        <f t="shared" si="0"/>
        <v>20415;20515</v>
      </c>
      <c r="G60" t="s">
        <v>77</v>
      </c>
      <c r="I60">
        <f t="shared" si="4"/>
        <v>20415</v>
      </c>
      <c r="J60">
        <f t="shared" si="1"/>
        <v>20515</v>
      </c>
    </row>
    <row r="61" spans="2:10" x14ac:dyDescent="0.3">
      <c r="B61" s="3">
        <v>3216</v>
      </c>
      <c r="C61" s="7" t="s">
        <v>62</v>
      </c>
      <c r="D61" s="10">
        <f t="shared" si="2"/>
        <v>103</v>
      </c>
      <c r="E61" s="10">
        <f t="shared" si="3"/>
        <v>16</v>
      </c>
      <c r="F61" s="5" t="str">
        <f t="shared" si="0"/>
        <v>20416;20516</v>
      </c>
      <c r="G61" t="s">
        <v>78</v>
      </c>
      <c r="I61">
        <f t="shared" si="4"/>
        <v>20416</v>
      </c>
      <c r="J61">
        <f t="shared" si="1"/>
        <v>20516</v>
      </c>
    </row>
    <row r="62" spans="2:10" x14ac:dyDescent="0.3">
      <c r="B62" s="3">
        <v>3217</v>
      </c>
      <c r="C62" s="7" t="s">
        <v>62</v>
      </c>
      <c r="D62" s="10">
        <f t="shared" si="2"/>
        <v>103</v>
      </c>
      <c r="E62" s="10">
        <f t="shared" si="3"/>
        <v>17</v>
      </c>
      <c r="F62" s="5" t="str">
        <f t="shared" si="0"/>
        <v>20417;20517</v>
      </c>
      <c r="G62" t="s">
        <v>79</v>
      </c>
      <c r="I62">
        <f t="shared" si="4"/>
        <v>20417</v>
      </c>
      <c r="J62">
        <f t="shared" si="1"/>
        <v>20517</v>
      </c>
    </row>
    <row r="63" spans="2:10" x14ac:dyDescent="0.3">
      <c r="B63" s="3">
        <v>3218</v>
      </c>
      <c r="C63" s="7" t="s">
        <v>62</v>
      </c>
      <c r="D63" s="10">
        <f t="shared" si="2"/>
        <v>103</v>
      </c>
      <c r="E63" s="10">
        <f t="shared" si="3"/>
        <v>18</v>
      </c>
      <c r="F63" s="5" t="str">
        <f t="shared" si="0"/>
        <v>20418;20518</v>
      </c>
      <c r="G63" t="s">
        <v>80</v>
      </c>
      <c r="I63">
        <f t="shared" si="4"/>
        <v>20418</v>
      </c>
      <c r="J63">
        <f t="shared" si="1"/>
        <v>20518</v>
      </c>
    </row>
    <row r="64" spans="2:10" x14ac:dyDescent="0.3">
      <c r="B64" s="3">
        <v>3219</v>
      </c>
      <c r="C64" s="7" t="s">
        <v>62</v>
      </c>
      <c r="D64" s="10">
        <f t="shared" si="2"/>
        <v>103</v>
      </c>
      <c r="E64" s="10">
        <f t="shared" si="3"/>
        <v>19</v>
      </c>
      <c r="F64" s="5" t="str">
        <f t="shared" si="0"/>
        <v>20419;20519</v>
      </c>
      <c r="G64" t="s">
        <v>81</v>
      </c>
      <c r="I64">
        <f t="shared" si="4"/>
        <v>20419</v>
      </c>
      <c r="J64">
        <f t="shared" si="1"/>
        <v>20519</v>
      </c>
    </row>
    <row r="65" spans="2:10" x14ac:dyDescent="0.3">
      <c r="B65" s="3">
        <v>3220</v>
      </c>
      <c r="C65" s="7" t="s">
        <v>62</v>
      </c>
      <c r="D65" s="10">
        <f t="shared" si="2"/>
        <v>103</v>
      </c>
      <c r="E65" s="10">
        <f t="shared" si="3"/>
        <v>20</v>
      </c>
      <c r="F65" s="5" t="str">
        <f t="shared" si="0"/>
        <v>20420;20520</v>
      </c>
      <c r="G65" t="s">
        <v>82</v>
      </c>
      <c r="I65">
        <f t="shared" si="4"/>
        <v>20420</v>
      </c>
      <c r="J65">
        <f t="shared" si="1"/>
        <v>20520</v>
      </c>
    </row>
    <row r="66" spans="2:10" x14ac:dyDescent="0.3">
      <c r="B66" s="3">
        <v>3301</v>
      </c>
      <c r="C66" s="7" t="s">
        <v>83</v>
      </c>
      <c r="D66" s="10">
        <f t="shared" si="2"/>
        <v>104</v>
      </c>
      <c r="E66" s="10">
        <f t="shared" si="3"/>
        <v>1</v>
      </c>
      <c r="F66" s="5" t="str">
        <f t="shared" si="0"/>
        <v>20601;20701</v>
      </c>
      <c r="G66" t="s">
        <v>84</v>
      </c>
      <c r="I66">
        <f t="shared" si="4"/>
        <v>20601</v>
      </c>
      <c r="J66">
        <f t="shared" si="1"/>
        <v>20701</v>
      </c>
    </row>
    <row r="67" spans="2:10" x14ac:dyDescent="0.3">
      <c r="B67" s="3">
        <v>3302</v>
      </c>
      <c r="C67" s="7" t="s">
        <v>83</v>
      </c>
      <c r="D67" s="10">
        <f t="shared" si="2"/>
        <v>104</v>
      </c>
      <c r="E67" s="10">
        <f t="shared" si="3"/>
        <v>2</v>
      </c>
      <c r="F67" s="5" t="str">
        <f t="shared" si="0"/>
        <v>20602;20702</v>
      </c>
      <c r="G67" t="s">
        <v>85</v>
      </c>
      <c r="I67">
        <f t="shared" si="4"/>
        <v>20602</v>
      </c>
      <c r="J67">
        <f t="shared" si="1"/>
        <v>20702</v>
      </c>
    </row>
    <row r="68" spans="2:10" x14ac:dyDescent="0.3">
      <c r="B68" s="3">
        <v>3303</v>
      </c>
      <c r="C68" s="7" t="s">
        <v>83</v>
      </c>
      <c r="D68" s="10">
        <f t="shared" si="2"/>
        <v>104</v>
      </c>
      <c r="E68" s="10">
        <f t="shared" si="3"/>
        <v>3</v>
      </c>
      <c r="F68" s="5" t="str">
        <f t="shared" si="0"/>
        <v>20603;20703</v>
      </c>
      <c r="G68" t="s">
        <v>86</v>
      </c>
      <c r="I68">
        <f t="shared" si="4"/>
        <v>20603</v>
      </c>
      <c r="J68">
        <f t="shared" si="1"/>
        <v>20703</v>
      </c>
    </row>
    <row r="69" spans="2:10" x14ac:dyDescent="0.3">
      <c r="B69" s="3">
        <v>3304</v>
      </c>
      <c r="C69" s="7" t="s">
        <v>83</v>
      </c>
      <c r="D69" s="10">
        <f t="shared" si="2"/>
        <v>104</v>
      </c>
      <c r="E69" s="10">
        <f t="shared" si="3"/>
        <v>4</v>
      </c>
      <c r="F69" s="5" t="str">
        <f t="shared" si="0"/>
        <v>20604;20704</v>
      </c>
      <c r="G69" t="s">
        <v>87</v>
      </c>
      <c r="I69">
        <f t="shared" si="4"/>
        <v>20604</v>
      </c>
      <c r="J69">
        <f t="shared" si="1"/>
        <v>20704</v>
      </c>
    </row>
    <row r="70" spans="2:10" x14ac:dyDescent="0.3">
      <c r="B70" s="3">
        <v>3305</v>
      </c>
      <c r="C70" s="7" t="s">
        <v>83</v>
      </c>
      <c r="D70" s="10">
        <f t="shared" si="2"/>
        <v>104</v>
      </c>
      <c r="E70" s="10">
        <f t="shared" si="3"/>
        <v>5</v>
      </c>
      <c r="F70" s="5" t="str">
        <f t="shared" si="0"/>
        <v>20605;20705</v>
      </c>
      <c r="G70" t="s">
        <v>88</v>
      </c>
      <c r="I70">
        <f t="shared" si="4"/>
        <v>20605</v>
      </c>
      <c r="J70">
        <f t="shared" si="1"/>
        <v>20705</v>
      </c>
    </row>
    <row r="71" spans="2:10" x14ac:dyDescent="0.3">
      <c r="B71" s="3">
        <v>3306</v>
      </c>
      <c r="C71" s="7" t="s">
        <v>83</v>
      </c>
      <c r="D71" s="10">
        <f t="shared" si="2"/>
        <v>104</v>
      </c>
      <c r="E71" s="10">
        <f t="shared" si="3"/>
        <v>6</v>
      </c>
      <c r="F71" s="5" t="str">
        <f t="shared" ref="F71:F96" si="5">_xlfn.TEXTJOIN(";",1,I71:J71)</f>
        <v>20606;20706</v>
      </c>
      <c r="G71" t="s">
        <v>89</v>
      </c>
      <c r="I71">
        <f t="shared" si="4"/>
        <v>20606</v>
      </c>
      <c r="J71">
        <f t="shared" ref="J71:J125" si="6">I71+100</f>
        <v>20706</v>
      </c>
    </row>
    <row r="72" spans="2:10" x14ac:dyDescent="0.3">
      <c r="B72" s="3">
        <v>3307</v>
      </c>
      <c r="C72" s="7" t="s">
        <v>83</v>
      </c>
      <c r="D72" s="10">
        <f t="shared" si="2"/>
        <v>104</v>
      </c>
      <c r="E72" s="10">
        <f t="shared" si="3"/>
        <v>7</v>
      </c>
      <c r="F72" s="5" t="str">
        <f t="shared" si="5"/>
        <v>20607;20707</v>
      </c>
      <c r="G72" t="s">
        <v>90</v>
      </c>
      <c r="I72">
        <f t="shared" si="4"/>
        <v>20607</v>
      </c>
      <c r="J72">
        <f t="shared" si="6"/>
        <v>20707</v>
      </c>
    </row>
    <row r="73" spans="2:10" x14ac:dyDescent="0.3">
      <c r="B73" s="3">
        <v>3308</v>
      </c>
      <c r="C73" s="7" t="s">
        <v>83</v>
      </c>
      <c r="D73" s="10">
        <f t="shared" si="2"/>
        <v>104</v>
      </c>
      <c r="E73" s="10">
        <f t="shared" si="3"/>
        <v>8</v>
      </c>
      <c r="F73" s="5" t="str">
        <f t="shared" si="5"/>
        <v>20608;20708</v>
      </c>
      <c r="G73" t="s">
        <v>91</v>
      </c>
      <c r="I73">
        <f t="shared" si="4"/>
        <v>20608</v>
      </c>
      <c r="J73">
        <f t="shared" si="6"/>
        <v>20708</v>
      </c>
    </row>
    <row r="74" spans="2:10" x14ac:dyDescent="0.3">
      <c r="B74" s="3">
        <v>3309</v>
      </c>
      <c r="C74" s="7" t="s">
        <v>83</v>
      </c>
      <c r="D74" s="10">
        <f t="shared" si="2"/>
        <v>104</v>
      </c>
      <c r="E74" s="10">
        <f t="shared" si="3"/>
        <v>9</v>
      </c>
      <c r="F74" s="5" t="str">
        <f t="shared" si="5"/>
        <v>20609;20709</v>
      </c>
      <c r="G74" t="s">
        <v>92</v>
      </c>
      <c r="I74">
        <f t="shared" si="4"/>
        <v>20609</v>
      </c>
      <c r="J74">
        <f t="shared" si="6"/>
        <v>20709</v>
      </c>
    </row>
    <row r="75" spans="2:10" x14ac:dyDescent="0.3">
      <c r="B75" s="3">
        <v>3310</v>
      </c>
      <c r="C75" s="7" t="s">
        <v>83</v>
      </c>
      <c r="D75" s="10">
        <f t="shared" si="2"/>
        <v>104</v>
      </c>
      <c r="E75" s="10">
        <f t="shared" si="3"/>
        <v>10</v>
      </c>
      <c r="F75" s="5" t="str">
        <f t="shared" si="5"/>
        <v>20610;20710</v>
      </c>
      <c r="G75" t="s">
        <v>93</v>
      </c>
      <c r="I75">
        <f t="shared" si="4"/>
        <v>20610</v>
      </c>
      <c r="J75">
        <f t="shared" si="6"/>
        <v>20710</v>
      </c>
    </row>
    <row r="76" spans="2:10" x14ac:dyDescent="0.3">
      <c r="B76" s="3">
        <v>3311</v>
      </c>
      <c r="C76" s="7" t="s">
        <v>83</v>
      </c>
      <c r="D76" s="10">
        <f t="shared" si="2"/>
        <v>104</v>
      </c>
      <c r="E76" s="10">
        <f t="shared" si="3"/>
        <v>11</v>
      </c>
      <c r="F76" s="5" t="str">
        <f t="shared" si="5"/>
        <v>20611;20711</v>
      </c>
      <c r="G76" t="s">
        <v>94</v>
      </c>
      <c r="I76">
        <f t="shared" si="4"/>
        <v>20611</v>
      </c>
      <c r="J76">
        <f t="shared" si="6"/>
        <v>20711</v>
      </c>
    </row>
    <row r="77" spans="2:10" x14ac:dyDescent="0.3">
      <c r="B77" s="3">
        <v>3312</v>
      </c>
      <c r="C77" s="7" t="s">
        <v>83</v>
      </c>
      <c r="D77" s="10">
        <f t="shared" si="2"/>
        <v>104</v>
      </c>
      <c r="E77" s="10">
        <f t="shared" si="3"/>
        <v>12</v>
      </c>
      <c r="F77" s="5" t="str">
        <f t="shared" si="5"/>
        <v>20612;20712</v>
      </c>
      <c r="G77" t="s">
        <v>95</v>
      </c>
      <c r="I77">
        <f t="shared" si="4"/>
        <v>20612</v>
      </c>
      <c r="J77">
        <f t="shared" si="6"/>
        <v>20712</v>
      </c>
    </row>
    <row r="78" spans="2:10" x14ac:dyDescent="0.3">
      <c r="B78" s="3">
        <v>3313</v>
      </c>
      <c r="C78" s="7" t="s">
        <v>83</v>
      </c>
      <c r="D78" s="10">
        <f t="shared" si="2"/>
        <v>104</v>
      </c>
      <c r="E78" s="10">
        <f t="shared" si="3"/>
        <v>13</v>
      </c>
      <c r="F78" s="5" t="str">
        <f t="shared" si="5"/>
        <v>20613;20713</v>
      </c>
      <c r="G78" t="s">
        <v>96</v>
      </c>
      <c r="I78">
        <f t="shared" si="4"/>
        <v>20613</v>
      </c>
      <c r="J78">
        <f t="shared" si="6"/>
        <v>20713</v>
      </c>
    </row>
    <row r="79" spans="2:10" x14ac:dyDescent="0.3">
      <c r="B79" s="3">
        <v>3314</v>
      </c>
      <c r="C79" s="7" t="s">
        <v>83</v>
      </c>
      <c r="D79" s="10">
        <f t="shared" si="2"/>
        <v>104</v>
      </c>
      <c r="E79" s="10">
        <f t="shared" si="3"/>
        <v>14</v>
      </c>
      <c r="F79" s="5" t="str">
        <f t="shared" si="5"/>
        <v>20614;20714</v>
      </c>
      <c r="G79" t="s">
        <v>97</v>
      </c>
      <c r="I79">
        <f t="shared" si="4"/>
        <v>20614</v>
      </c>
      <c r="J79">
        <f t="shared" si="6"/>
        <v>20714</v>
      </c>
    </row>
    <row r="80" spans="2:10" x14ac:dyDescent="0.3">
      <c r="B80" s="3">
        <v>3315</v>
      </c>
      <c r="C80" s="7" t="s">
        <v>83</v>
      </c>
      <c r="D80" s="10">
        <f t="shared" si="2"/>
        <v>104</v>
      </c>
      <c r="E80" s="10">
        <f t="shared" si="3"/>
        <v>15</v>
      </c>
      <c r="F80" s="5" t="str">
        <f t="shared" si="5"/>
        <v>20615;20715</v>
      </c>
      <c r="G80" t="s">
        <v>98</v>
      </c>
      <c r="I80">
        <f t="shared" si="4"/>
        <v>20615</v>
      </c>
      <c r="J80">
        <f t="shared" si="6"/>
        <v>20715</v>
      </c>
    </row>
    <row r="81" spans="2:10" x14ac:dyDescent="0.3">
      <c r="B81" s="3">
        <v>3316</v>
      </c>
      <c r="C81" s="7" t="s">
        <v>83</v>
      </c>
      <c r="D81" s="10">
        <f t="shared" si="2"/>
        <v>104</v>
      </c>
      <c r="E81" s="10">
        <f t="shared" si="3"/>
        <v>16</v>
      </c>
      <c r="F81" s="5" t="str">
        <f t="shared" si="5"/>
        <v>20616;20716</v>
      </c>
      <c r="G81" t="s">
        <v>99</v>
      </c>
      <c r="I81">
        <f t="shared" si="4"/>
        <v>20616</v>
      </c>
      <c r="J81">
        <f t="shared" si="6"/>
        <v>20716</v>
      </c>
    </row>
    <row r="82" spans="2:10" x14ac:dyDescent="0.3">
      <c r="B82" s="3">
        <v>3317</v>
      </c>
      <c r="C82" s="7" t="s">
        <v>83</v>
      </c>
      <c r="D82" s="10">
        <f t="shared" si="2"/>
        <v>104</v>
      </c>
      <c r="E82" s="10">
        <f t="shared" si="3"/>
        <v>17</v>
      </c>
      <c r="F82" s="5" t="str">
        <f t="shared" si="5"/>
        <v>20617;20717</v>
      </c>
      <c r="G82" t="s">
        <v>100</v>
      </c>
      <c r="I82">
        <f t="shared" si="4"/>
        <v>20617</v>
      </c>
      <c r="J82">
        <f t="shared" si="6"/>
        <v>20717</v>
      </c>
    </row>
    <row r="83" spans="2:10" x14ac:dyDescent="0.3">
      <c r="B83" s="3">
        <v>3318</v>
      </c>
      <c r="C83" s="7" t="s">
        <v>83</v>
      </c>
      <c r="D83" s="10">
        <f t="shared" si="2"/>
        <v>104</v>
      </c>
      <c r="E83" s="10">
        <f t="shared" si="3"/>
        <v>18</v>
      </c>
      <c r="F83" s="5" t="str">
        <f t="shared" si="5"/>
        <v>20618;20718</v>
      </c>
      <c r="G83" t="s">
        <v>101</v>
      </c>
      <c r="I83">
        <f t="shared" si="4"/>
        <v>20618</v>
      </c>
      <c r="J83">
        <f t="shared" si="6"/>
        <v>20718</v>
      </c>
    </row>
    <row r="84" spans="2:10" x14ac:dyDescent="0.3">
      <c r="B84" s="3">
        <v>3319</v>
      </c>
      <c r="C84" s="7" t="s">
        <v>83</v>
      </c>
      <c r="D84" s="10">
        <f t="shared" si="2"/>
        <v>104</v>
      </c>
      <c r="E84" s="10">
        <f t="shared" si="3"/>
        <v>19</v>
      </c>
      <c r="F84" s="5" t="str">
        <f t="shared" si="5"/>
        <v>20619;20719</v>
      </c>
      <c r="G84" t="s">
        <v>102</v>
      </c>
      <c r="I84">
        <f t="shared" si="4"/>
        <v>20619</v>
      </c>
      <c r="J84">
        <f t="shared" si="6"/>
        <v>20719</v>
      </c>
    </row>
    <row r="85" spans="2:10" x14ac:dyDescent="0.3">
      <c r="B85" s="3">
        <v>3320</v>
      </c>
      <c r="C85" s="7" t="s">
        <v>83</v>
      </c>
      <c r="D85" s="10">
        <f t="shared" si="2"/>
        <v>104</v>
      </c>
      <c r="E85" s="10">
        <f t="shared" si="3"/>
        <v>20</v>
      </c>
      <c r="F85" s="5" t="str">
        <f t="shared" si="5"/>
        <v>20620;20720</v>
      </c>
      <c r="G85" t="s">
        <v>103</v>
      </c>
      <c r="I85">
        <f t="shared" si="4"/>
        <v>20620</v>
      </c>
      <c r="J85">
        <f t="shared" si="6"/>
        <v>20720</v>
      </c>
    </row>
    <row r="86" spans="2:10" x14ac:dyDescent="0.3">
      <c r="B86" s="3">
        <v>3401</v>
      </c>
      <c r="C86" s="7" t="s">
        <v>104</v>
      </c>
      <c r="D86" s="10">
        <f t="shared" si="2"/>
        <v>105</v>
      </c>
      <c r="E86" s="10">
        <f t="shared" si="3"/>
        <v>1</v>
      </c>
      <c r="F86" s="5" t="str">
        <f t="shared" si="5"/>
        <v>20801;20901</v>
      </c>
      <c r="G86" t="s">
        <v>105</v>
      </c>
      <c r="I86">
        <f t="shared" si="4"/>
        <v>20801</v>
      </c>
      <c r="J86">
        <f t="shared" si="6"/>
        <v>20901</v>
      </c>
    </row>
    <row r="87" spans="2:10" x14ac:dyDescent="0.3">
      <c r="B87" s="3">
        <v>3402</v>
      </c>
      <c r="C87" s="7" t="s">
        <v>104</v>
      </c>
      <c r="D87" s="10">
        <f t="shared" si="2"/>
        <v>105</v>
      </c>
      <c r="E87" s="10">
        <f t="shared" si="3"/>
        <v>2</v>
      </c>
      <c r="F87" s="5" t="str">
        <f t="shared" si="5"/>
        <v>20802;20902</v>
      </c>
      <c r="G87" t="s">
        <v>106</v>
      </c>
      <c r="I87">
        <f t="shared" si="4"/>
        <v>20802</v>
      </c>
      <c r="J87">
        <f t="shared" si="6"/>
        <v>20902</v>
      </c>
    </row>
    <row r="88" spans="2:10" x14ac:dyDescent="0.3">
      <c r="B88" s="3">
        <v>3403</v>
      </c>
      <c r="C88" s="7" t="s">
        <v>104</v>
      </c>
      <c r="D88" s="10">
        <f t="shared" si="2"/>
        <v>105</v>
      </c>
      <c r="E88" s="10">
        <f t="shared" si="3"/>
        <v>3</v>
      </c>
      <c r="F88" s="5" t="str">
        <f t="shared" si="5"/>
        <v>20803;20903</v>
      </c>
      <c r="G88" t="s">
        <v>107</v>
      </c>
      <c r="I88">
        <f t="shared" si="4"/>
        <v>20803</v>
      </c>
      <c r="J88">
        <f t="shared" si="6"/>
        <v>20903</v>
      </c>
    </row>
    <row r="89" spans="2:10" x14ac:dyDescent="0.3">
      <c r="B89" s="3">
        <v>3404</v>
      </c>
      <c r="C89" s="7" t="s">
        <v>104</v>
      </c>
      <c r="D89" s="10">
        <f t="shared" si="2"/>
        <v>105</v>
      </c>
      <c r="E89" s="10">
        <f t="shared" si="3"/>
        <v>4</v>
      </c>
      <c r="F89" s="5" t="str">
        <f t="shared" si="5"/>
        <v>20804;20904</v>
      </c>
      <c r="G89" t="s">
        <v>108</v>
      </c>
      <c r="I89">
        <f t="shared" si="4"/>
        <v>20804</v>
      </c>
      <c r="J89">
        <f t="shared" si="6"/>
        <v>20904</v>
      </c>
    </row>
    <row r="90" spans="2:10" x14ac:dyDescent="0.3">
      <c r="B90" s="3">
        <v>3405</v>
      </c>
      <c r="C90" s="7" t="s">
        <v>104</v>
      </c>
      <c r="D90" s="10">
        <f t="shared" si="2"/>
        <v>105</v>
      </c>
      <c r="E90" s="10">
        <f t="shared" si="3"/>
        <v>5</v>
      </c>
      <c r="F90" s="5" t="str">
        <f t="shared" si="5"/>
        <v>20805;20905</v>
      </c>
      <c r="G90" t="s">
        <v>109</v>
      </c>
      <c r="I90">
        <f t="shared" si="4"/>
        <v>20805</v>
      </c>
      <c r="J90">
        <f t="shared" si="6"/>
        <v>20905</v>
      </c>
    </row>
    <row r="91" spans="2:10" x14ac:dyDescent="0.3">
      <c r="B91" s="3">
        <v>3406</v>
      </c>
      <c r="C91" s="7" t="s">
        <v>104</v>
      </c>
      <c r="D91" s="10">
        <f t="shared" ref="D91:D96" si="7">D71+1</f>
        <v>105</v>
      </c>
      <c r="E91" s="10">
        <f t="shared" ref="E91:E154" si="8">E71</f>
        <v>6</v>
      </c>
      <c r="F91" s="5" t="str">
        <f t="shared" si="5"/>
        <v>20806;20906</v>
      </c>
      <c r="G91" t="s">
        <v>110</v>
      </c>
      <c r="I91">
        <f t="shared" ref="I91:I145" si="9">I71+200</f>
        <v>20806</v>
      </c>
      <c r="J91">
        <f t="shared" si="6"/>
        <v>20906</v>
      </c>
    </row>
    <row r="92" spans="2:10" x14ac:dyDescent="0.3">
      <c r="B92" s="3">
        <v>3407</v>
      </c>
      <c r="C92" s="7" t="s">
        <v>104</v>
      </c>
      <c r="D92" s="10">
        <f t="shared" si="7"/>
        <v>105</v>
      </c>
      <c r="E92" s="10">
        <f t="shared" si="8"/>
        <v>7</v>
      </c>
      <c r="F92" s="5" t="str">
        <f t="shared" si="5"/>
        <v>20807;20907</v>
      </c>
      <c r="G92" t="s">
        <v>111</v>
      </c>
      <c r="I92">
        <f t="shared" si="9"/>
        <v>20807</v>
      </c>
      <c r="J92">
        <f t="shared" si="6"/>
        <v>20907</v>
      </c>
    </row>
    <row r="93" spans="2:10" x14ac:dyDescent="0.3">
      <c r="B93" s="3">
        <v>3408</v>
      </c>
      <c r="C93" s="7" t="s">
        <v>104</v>
      </c>
      <c r="D93" s="10">
        <f t="shared" si="7"/>
        <v>105</v>
      </c>
      <c r="E93" s="10">
        <f t="shared" si="8"/>
        <v>8</v>
      </c>
      <c r="F93" s="5" t="str">
        <f t="shared" si="5"/>
        <v>20808;20908</v>
      </c>
      <c r="G93" t="s">
        <v>112</v>
      </c>
      <c r="I93">
        <f t="shared" si="9"/>
        <v>20808</v>
      </c>
      <c r="J93">
        <f t="shared" si="6"/>
        <v>20908</v>
      </c>
    </row>
    <row r="94" spans="2:10" x14ac:dyDescent="0.3">
      <c r="B94" s="3">
        <v>3409</v>
      </c>
      <c r="C94" s="7" t="s">
        <v>104</v>
      </c>
      <c r="D94" s="10">
        <f t="shared" si="7"/>
        <v>105</v>
      </c>
      <c r="E94" s="10">
        <f t="shared" si="8"/>
        <v>9</v>
      </c>
      <c r="F94" s="5" t="str">
        <f t="shared" si="5"/>
        <v>20809;20909</v>
      </c>
      <c r="G94" t="s">
        <v>113</v>
      </c>
      <c r="I94">
        <f t="shared" si="9"/>
        <v>20809</v>
      </c>
      <c r="J94">
        <f t="shared" si="6"/>
        <v>20909</v>
      </c>
    </row>
    <row r="95" spans="2:10" x14ac:dyDescent="0.3">
      <c r="B95" s="3">
        <v>3410</v>
      </c>
      <c r="C95" s="7" t="s">
        <v>104</v>
      </c>
      <c r="D95" s="10">
        <f t="shared" si="7"/>
        <v>105</v>
      </c>
      <c r="E95" s="10">
        <f t="shared" si="8"/>
        <v>10</v>
      </c>
      <c r="F95" s="5" t="str">
        <f t="shared" si="5"/>
        <v>20810;20910</v>
      </c>
      <c r="G95" t="s">
        <v>114</v>
      </c>
      <c r="I95">
        <f t="shared" si="9"/>
        <v>20810</v>
      </c>
      <c r="J95">
        <f t="shared" si="6"/>
        <v>20910</v>
      </c>
    </row>
    <row r="96" spans="2:10" x14ac:dyDescent="0.3">
      <c r="B96" s="3">
        <v>3411</v>
      </c>
      <c r="C96" s="7" t="s">
        <v>104</v>
      </c>
      <c r="D96" s="10">
        <f t="shared" si="7"/>
        <v>105</v>
      </c>
      <c r="E96" s="10">
        <f t="shared" si="8"/>
        <v>11</v>
      </c>
      <c r="F96" s="5" t="str">
        <f t="shared" si="5"/>
        <v>20811;20911</v>
      </c>
      <c r="G96" t="s">
        <v>115</v>
      </c>
      <c r="I96">
        <f t="shared" si="9"/>
        <v>20811</v>
      </c>
      <c r="J96">
        <f t="shared" si="6"/>
        <v>20911</v>
      </c>
    </row>
    <row r="97" spans="2:10" x14ac:dyDescent="0.3">
      <c r="B97" s="3">
        <v>3412</v>
      </c>
      <c r="C97" s="7" t="s">
        <v>104</v>
      </c>
      <c r="D97" s="10">
        <f t="shared" ref="D97:D160" si="10">D77+1</f>
        <v>105</v>
      </c>
      <c r="E97" s="10">
        <f t="shared" si="8"/>
        <v>12</v>
      </c>
      <c r="F97" s="5" t="str">
        <f t="shared" ref="F97:F160" si="11">_xlfn.TEXTJOIN(";",1,I97:J97)</f>
        <v>20812;20912</v>
      </c>
      <c r="G97" t="s">
        <v>116</v>
      </c>
      <c r="I97">
        <f t="shared" si="9"/>
        <v>20812</v>
      </c>
      <c r="J97">
        <f t="shared" si="6"/>
        <v>20912</v>
      </c>
    </row>
    <row r="98" spans="2:10" x14ac:dyDescent="0.3">
      <c r="B98" s="3">
        <v>3413</v>
      </c>
      <c r="C98" s="7" t="s">
        <v>104</v>
      </c>
      <c r="D98" s="10">
        <f t="shared" si="10"/>
        <v>105</v>
      </c>
      <c r="E98" s="10">
        <f t="shared" si="8"/>
        <v>13</v>
      </c>
      <c r="F98" s="5" t="str">
        <f t="shared" si="11"/>
        <v>20813;20913</v>
      </c>
      <c r="G98" t="s">
        <v>117</v>
      </c>
      <c r="I98">
        <f t="shared" si="9"/>
        <v>20813</v>
      </c>
      <c r="J98">
        <f t="shared" si="6"/>
        <v>20913</v>
      </c>
    </row>
    <row r="99" spans="2:10" x14ac:dyDescent="0.3">
      <c r="B99" s="3">
        <v>3414</v>
      </c>
      <c r="C99" s="7" t="s">
        <v>104</v>
      </c>
      <c r="D99" s="10">
        <f t="shared" si="10"/>
        <v>105</v>
      </c>
      <c r="E99" s="10">
        <f t="shared" si="8"/>
        <v>14</v>
      </c>
      <c r="F99" s="5" t="str">
        <f t="shared" si="11"/>
        <v>20814;20914</v>
      </c>
      <c r="G99" t="s">
        <v>118</v>
      </c>
      <c r="I99">
        <f t="shared" si="9"/>
        <v>20814</v>
      </c>
      <c r="J99">
        <f t="shared" si="6"/>
        <v>20914</v>
      </c>
    </row>
    <row r="100" spans="2:10" x14ac:dyDescent="0.3">
      <c r="B100" s="3">
        <v>3415</v>
      </c>
      <c r="C100" s="7" t="s">
        <v>104</v>
      </c>
      <c r="D100" s="10">
        <f t="shared" si="10"/>
        <v>105</v>
      </c>
      <c r="E100" s="10">
        <f t="shared" si="8"/>
        <v>15</v>
      </c>
      <c r="F100" s="5" t="str">
        <f t="shared" si="11"/>
        <v>20815;20915</v>
      </c>
      <c r="G100" t="s">
        <v>119</v>
      </c>
      <c r="I100">
        <f t="shared" si="9"/>
        <v>20815</v>
      </c>
      <c r="J100">
        <f t="shared" si="6"/>
        <v>20915</v>
      </c>
    </row>
    <row r="101" spans="2:10" x14ac:dyDescent="0.3">
      <c r="B101" s="3">
        <v>3416</v>
      </c>
      <c r="C101" s="7" t="s">
        <v>104</v>
      </c>
      <c r="D101" s="10">
        <f t="shared" si="10"/>
        <v>105</v>
      </c>
      <c r="E101" s="10">
        <f t="shared" si="8"/>
        <v>16</v>
      </c>
      <c r="F101" s="5" t="str">
        <f t="shared" si="11"/>
        <v>20816;20916</v>
      </c>
      <c r="G101" t="s">
        <v>120</v>
      </c>
      <c r="I101">
        <f t="shared" si="9"/>
        <v>20816</v>
      </c>
      <c r="J101">
        <f t="shared" si="6"/>
        <v>20916</v>
      </c>
    </row>
    <row r="102" spans="2:10" x14ac:dyDescent="0.3">
      <c r="B102" s="3">
        <v>3417</v>
      </c>
      <c r="C102" s="7" t="s">
        <v>104</v>
      </c>
      <c r="D102" s="10">
        <f t="shared" si="10"/>
        <v>105</v>
      </c>
      <c r="E102" s="10">
        <f t="shared" si="8"/>
        <v>17</v>
      </c>
      <c r="F102" s="5" t="str">
        <f t="shared" si="11"/>
        <v>20817;20917</v>
      </c>
      <c r="G102" t="s">
        <v>121</v>
      </c>
      <c r="I102">
        <f t="shared" si="9"/>
        <v>20817</v>
      </c>
      <c r="J102">
        <f t="shared" si="6"/>
        <v>20917</v>
      </c>
    </row>
    <row r="103" spans="2:10" x14ac:dyDescent="0.3">
      <c r="B103" s="3">
        <v>3418</v>
      </c>
      <c r="C103" s="7" t="s">
        <v>104</v>
      </c>
      <c r="D103" s="10">
        <f t="shared" si="10"/>
        <v>105</v>
      </c>
      <c r="E103" s="10">
        <f t="shared" si="8"/>
        <v>18</v>
      </c>
      <c r="F103" s="5" t="str">
        <f t="shared" si="11"/>
        <v>20818;20918</v>
      </c>
      <c r="G103" t="s">
        <v>122</v>
      </c>
      <c r="I103">
        <f t="shared" si="9"/>
        <v>20818</v>
      </c>
      <c r="J103">
        <f t="shared" si="6"/>
        <v>20918</v>
      </c>
    </row>
    <row r="104" spans="2:10" x14ac:dyDescent="0.3">
      <c r="B104" s="3">
        <v>3419</v>
      </c>
      <c r="C104" s="7" t="s">
        <v>104</v>
      </c>
      <c r="D104" s="10">
        <f t="shared" si="10"/>
        <v>105</v>
      </c>
      <c r="E104" s="10">
        <f t="shared" si="8"/>
        <v>19</v>
      </c>
      <c r="F104" s="5" t="str">
        <f t="shared" si="11"/>
        <v>20819;20919</v>
      </c>
      <c r="G104" t="s">
        <v>123</v>
      </c>
      <c r="I104">
        <f t="shared" si="9"/>
        <v>20819</v>
      </c>
      <c r="J104">
        <f t="shared" si="6"/>
        <v>20919</v>
      </c>
    </row>
    <row r="105" spans="2:10" x14ac:dyDescent="0.3">
      <c r="B105" s="3">
        <v>3420</v>
      </c>
      <c r="C105" s="7" t="s">
        <v>104</v>
      </c>
      <c r="D105" s="10">
        <f t="shared" si="10"/>
        <v>105</v>
      </c>
      <c r="E105" s="10">
        <f t="shared" si="8"/>
        <v>20</v>
      </c>
      <c r="F105" s="5" t="str">
        <f t="shared" si="11"/>
        <v>20820;20920</v>
      </c>
      <c r="G105" t="s">
        <v>124</v>
      </c>
      <c r="I105">
        <f t="shared" si="9"/>
        <v>20820</v>
      </c>
      <c r="J105">
        <f t="shared" si="6"/>
        <v>20920</v>
      </c>
    </row>
    <row r="106" spans="2:10" x14ac:dyDescent="0.3">
      <c r="B106" s="3">
        <v>3501</v>
      </c>
      <c r="C106" s="7" t="s">
        <v>125</v>
      </c>
      <c r="D106" s="10">
        <f t="shared" si="10"/>
        <v>106</v>
      </c>
      <c r="E106" s="10">
        <f t="shared" si="8"/>
        <v>1</v>
      </c>
      <c r="F106" s="5" t="str">
        <f t="shared" si="11"/>
        <v>21001;21101</v>
      </c>
      <c r="G106" t="s">
        <v>126</v>
      </c>
      <c r="I106">
        <f t="shared" si="9"/>
        <v>21001</v>
      </c>
      <c r="J106">
        <f t="shared" si="6"/>
        <v>21101</v>
      </c>
    </row>
    <row r="107" spans="2:10" x14ac:dyDescent="0.3">
      <c r="B107" s="3">
        <v>3502</v>
      </c>
      <c r="C107" s="7" t="s">
        <v>125</v>
      </c>
      <c r="D107" s="10">
        <f t="shared" si="10"/>
        <v>106</v>
      </c>
      <c r="E107" s="10">
        <f t="shared" si="8"/>
        <v>2</v>
      </c>
      <c r="F107" s="5" t="str">
        <f t="shared" si="11"/>
        <v>21002;21102</v>
      </c>
      <c r="G107" t="s">
        <v>127</v>
      </c>
      <c r="I107">
        <f t="shared" si="9"/>
        <v>21002</v>
      </c>
      <c r="J107">
        <f t="shared" si="6"/>
        <v>21102</v>
      </c>
    </row>
    <row r="108" spans="2:10" x14ac:dyDescent="0.3">
      <c r="B108" s="3">
        <v>3503</v>
      </c>
      <c r="C108" s="7" t="s">
        <v>125</v>
      </c>
      <c r="D108" s="10">
        <f t="shared" si="10"/>
        <v>106</v>
      </c>
      <c r="E108" s="10">
        <f t="shared" si="8"/>
        <v>3</v>
      </c>
      <c r="F108" s="5" t="str">
        <f t="shared" si="11"/>
        <v>21003;21103</v>
      </c>
      <c r="G108" t="s">
        <v>128</v>
      </c>
      <c r="I108">
        <f t="shared" si="9"/>
        <v>21003</v>
      </c>
      <c r="J108">
        <f t="shared" si="6"/>
        <v>21103</v>
      </c>
    </row>
    <row r="109" spans="2:10" x14ac:dyDescent="0.3">
      <c r="B109" s="3">
        <v>3504</v>
      </c>
      <c r="C109" s="7" t="s">
        <v>125</v>
      </c>
      <c r="D109" s="10">
        <f t="shared" si="10"/>
        <v>106</v>
      </c>
      <c r="E109" s="10">
        <f t="shared" si="8"/>
        <v>4</v>
      </c>
      <c r="F109" s="5" t="str">
        <f t="shared" si="11"/>
        <v>21004;21104</v>
      </c>
      <c r="G109" t="s">
        <v>129</v>
      </c>
      <c r="I109">
        <f t="shared" si="9"/>
        <v>21004</v>
      </c>
      <c r="J109">
        <f t="shared" si="6"/>
        <v>21104</v>
      </c>
    </row>
    <row r="110" spans="2:10" x14ac:dyDescent="0.3">
      <c r="B110" s="3">
        <v>3505</v>
      </c>
      <c r="C110" s="7" t="s">
        <v>125</v>
      </c>
      <c r="D110" s="10">
        <f t="shared" si="10"/>
        <v>106</v>
      </c>
      <c r="E110" s="10">
        <f t="shared" si="8"/>
        <v>5</v>
      </c>
      <c r="F110" s="5" t="str">
        <f t="shared" si="11"/>
        <v>21005;21105</v>
      </c>
      <c r="G110" t="s">
        <v>130</v>
      </c>
      <c r="I110">
        <f t="shared" si="9"/>
        <v>21005</v>
      </c>
      <c r="J110">
        <f t="shared" si="6"/>
        <v>21105</v>
      </c>
    </row>
    <row r="111" spans="2:10" x14ac:dyDescent="0.3">
      <c r="B111" s="3">
        <v>3506</v>
      </c>
      <c r="C111" s="7" t="s">
        <v>125</v>
      </c>
      <c r="D111" s="10">
        <f t="shared" si="10"/>
        <v>106</v>
      </c>
      <c r="E111" s="10">
        <f t="shared" si="8"/>
        <v>6</v>
      </c>
      <c r="F111" s="5" t="str">
        <f t="shared" si="11"/>
        <v>21006;21106</v>
      </c>
      <c r="G111" t="s">
        <v>131</v>
      </c>
      <c r="I111">
        <f t="shared" si="9"/>
        <v>21006</v>
      </c>
      <c r="J111">
        <f t="shared" si="6"/>
        <v>21106</v>
      </c>
    </row>
    <row r="112" spans="2:10" x14ac:dyDescent="0.3">
      <c r="B112" s="3">
        <v>3507</v>
      </c>
      <c r="C112" s="7" t="s">
        <v>125</v>
      </c>
      <c r="D112" s="10">
        <f t="shared" si="10"/>
        <v>106</v>
      </c>
      <c r="E112" s="10">
        <f t="shared" si="8"/>
        <v>7</v>
      </c>
      <c r="F112" s="5" t="str">
        <f t="shared" si="11"/>
        <v>21007;21107</v>
      </c>
      <c r="G112" t="s">
        <v>132</v>
      </c>
      <c r="I112">
        <f t="shared" si="9"/>
        <v>21007</v>
      </c>
      <c r="J112">
        <f t="shared" si="6"/>
        <v>21107</v>
      </c>
    </row>
    <row r="113" spans="2:10" x14ac:dyDescent="0.3">
      <c r="B113" s="3">
        <v>3508</v>
      </c>
      <c r="C113" s="7" t="s">
        <v>125</v>
      </c>
      <c r="D113" s="10">
        <f t="shared" si="10"/>
        <v>106</v>
      </c>
      <c r="E113" s="10">
        <f t="shared" si="8"/>
        <v>8</v>
      </c>
      <c r="F113" s="5" t="str">
        <f t="shared" si="11"/>
        <v>21008;21108</v>
      </c>
      <c r="G113" t="s">
        <v>133</v>
      </c>
      <c r="I113">
        <f t="shared" si="9"/>
        <v>21008</v>
      </c>
      <c r="J113">
        <f t="shared" si="6"/>
        <v>21108</v>
      </c>
    </row>
    <row r="114" spans="2:10" x14ac:dyDescent="0.3">
      <c r="B114" s="3">
        <v>3509</v>
      </c>
      <c r="C114" s="7" t="s">
        <v>125</v>
      </c>
      <c r="D114" s="10">
        <f t="shared" si="10"/>
        <v>106</v>
      </c>
      <c r="E114" s="10">
        <f t="shared" si="8"/>
        <v>9</v>
      </c>
      <c r="F114" s="5" t="str">
        <f t="shared" si="11"/>
        <v>21009;21109</v>
      </c>
      <c r="G114" t="s">
        <v>134</v>
      </c>
      <c r="I114">
        <f t="shared" si="9"/>
        <v>21009</v>
      </c>
      <c r="J114">
        <f t="shared" si="6"/>
        <v>21109</v>
      </c>
    </row>
    <row r="115" spans="2:10" x14ac:dyDescent="0.3">
      <c r="B115" s="3">
        <v>3510</v>
      </c>
      <c r="C115" s="7" t="s">
        <v>125</v>
      </c>
      <c r="D115" s="10">
        <f t="shared" si="10"/>
        <v>106</v>
      </c>
      <c r="E115" s="10">
        <f t="shared" si="8"/>
        <v>10</v>
      </c>
      <c r="F115" s="5" t="str">
        <f t="shared" si="11"/>
        <v>21010;21110</v>
      </c>
      <c r="G115" t="s">
        <v>135</v>
      </c>
      <c r="I115">
        <f t="shared" si="9"/>
        <v>21010</v>
      </c>
      <c r="J115">
        <f t="shared" si="6"/>
        <v>21110</v>
      </c>
    </row>
    <row r="116" spans="2:10" x14ac:dyDescent="0.3">
      <c r="B116" s="3">
        <v>3511</v>
      </c>
      <c r="C116" s="7" t="s">
        <v>125</v>
      </c>
      <c r="D116" s="10">
        <f t="shared" si="10"/>
        <v>106</v>
      </c>
      <c r="E116" s="10">
        <f t="shared" si="8"/>
        <v>11</v>
      </c>
      <c r="F116" s="5" t="str">
        <f t="shared" si="11"/>
        <v>21011;21111</v>
      </c>
      <c r="G116" t="s">
        <v>136</v>
      </c>
      <c r="I116">
        <f t="shared" si="9"/>
        <v>21011</v>
      </c>
      <c r="J116">
        <f t="shared" si="6"/>
        <v>21111</v>
      </c>
    </row>
    <row r="117" spans="2:10" x14ac:dyDescent="0.3">
      <c r="B117" s="3">
        <v>3512</v>
      </c>
      <c r="C117" s="7" t="s">
        <v>125</v>
      </c>
      <c r="D117" s="10">
        <f t="shared" si="10"/>
        <v>106</v>
      </c>
      <c r="E117" s="10">
        <f t="shared" si="8"/>
        <v>12</v>
      </c>
      <c r="F117" s="5" t="str">
        <f t="shared" si="11"/>
        <v>21012;21112</v>
      </c>
      <c r="G117" t="s">
        <v>137</v>
      </c>
      <c r="I117">
        <f t="shared" si="9"/>
        <v>21012</v>
      </c>
      <c r="J117">
        <f t="shared" si="6"/>
        <v>21112</v>
      </c>
    </row>
    <row r="118" spans="2:10" x14ac:dyDescent="0.3">
      <c r="B118" s="3">
        <v>3513</v>
      </c>
      <c r="C118" s="7" t="s">
        <v>125</v>
      </c>
      <c r="D118" s="10">
        <f t="shared" si="10"/>
        <v>106</v>
      </c>
      <c r="E118" s="10">
        <f t="shared" si="8"/>
        <v>13</v>
      </c>
      <c r="F118" s="5" t="str">
        <f t="shared" si="11"/>
        <v>21013;21113</v>
      </c>
      <c r="G118" t="s">
        <v>138</v>
      </c>
      <c r="I118">
        <f t="shared" si="9"/>
        <v>21013</v>
      </c>
      <c r="J118">
        <f t="shared" si="6"/>
        <v>21113</v>
      </c>
    </row>
    <row r="119" spans="2:10" x14ac:dyDescent="0.3">
      <c r="B119" s="3">
        <v>3514</v>
      </c>
      <c r="C119" s="7" t="s">
        <v>125</v>
      </c>
      <c r="D119" s="10">
        <f t="shared" si="10"/>
        <v>106</v>
      </c>
      <c r="E119" s="10">
        <f t="shared" si="8"/>
        <v>14</v>
      </c>
      <c r="F119" s="5" t="str">
        <f t="shared" si="11"/>
        <v>21014;21114</v>
      </c>
      <c r="G119" t="s">
        <v>139</v>
      </c>
      <c r="I119">
        <f t="shared" si="9"/>
        <v>21014</v>
      </c>
      <c r="J119">
        <f t="shared" si="6"/>
        <v>21114</v>
      </c>
    </row>
    <row r="120" spans="2:10" x14ac:dyDescent="0.3">
      <c r="B120" s="3">
        <v>3515</v>
      </c>
      <c r="C120" s="7" t="s">
        <v>125</v>
      </c>
      <c r="D120" s="10">
        <f t="shared" si="10"/>
        <v>106</v>
      </c>
      <c r="E120" s="10">
        <f t="shared" si="8"/>
        <v>15</v>
      </c>
      <c r="F120" s="5" t="str">
        <f t="shared" si="11"/>
        <v>21015;21115</v>
      </c>
      <c r="G120" t="s">
        <v>140</v>
      </c>
      <c r="I120">
        <f t="shared" si="9"/>
        <v>21015</v>
      </c>
      <c r="J120">
        <f t="shared" si="6"/>
        <v>21115</v>
      </c>
    </row>
    <row r="121" spans="2:10" x14ac:dyDescent="0.3">
      <c r="B121" s="3">
        <v>3516</v>
      </c>
      <c r="C121" s="7" t="s">
        <v>125</v>
      </c>
      <c r="D121" s="10">
        <f t="shared" si="10"/>
        <v>106</v>
      </c>
      <c r="E121" s="10">
        <f t="shared" si="8"/>
        <v>16</v>
      </c>
      <c r="F121" s="5" t="str">
        <f t="shared" si="11"/>
        <v>21016;21116</v>
      </c>
      <c r="G121" t="s">
        <v>141</v>
      </c>
      <c r="I121">
        <f t="shared" si="9"/>
        <v>21016</v>
      </c>
      <c r="J121">
        <f t="shared" si="6"/>
        <v>21116</v>
      </c>
    </row>
    <row r="122" spans="2:10" x14ac:dyDescent="0.3">
      <c r="B122" s="3">
        <v>3517</v>
      </c>
      <c r="C122" s="7" t="s">
        <v>125</v>
      </c>
      <c r="D122" s="10">
        <f t="shared" si="10"/>
        <v>106</v>
      </c>
      <c r="E122" s="10">
        <f t="shared" si="8"/>
        <v>17</v>
      </c>
      <c r="F122" s="5" t="str">
        <f t="shared" si="11"/>
        <v>21017;21117</v>
      </c>
      <c r="G122" t="s">
        <v>142</v>
      </c>
      <c r="I122">
        <f t="shared" si="9"/>
        <v>21017</v>
      </c>
      <c r="J122">
        <f t="shared" si="6"/>
        <v>21117</v>
      </c>
    </row>
    <row r="123" spans="2:10" x14ac:dyDescent="0.3">
      <c r="B123" s="3">
        <v>3518</v>
      </c>
      <c r="C123" s="7" t="s">
        <v>125</v>
      </c>
      <c r="D123" s="10">
        <f t="shared" si="10"/>
        <v>106</v>
      </c>
      <c r="E123" s="10">
        <f t="shared" si="8"/>
        <v>18</v>
      </c>
      <c r="F123" s="5" t="str">
        <f t="shared" si="11"/>
        <v>21018;21118</v>
      </c>
      <c r="G123" t="s">
        <v>143</v>
      </c>
      <c r="I123">
        <f t="shared" si="9"/>
        <v>21018</v>
      </c>
      <c r="J123">
        <f t="shared" si="6"/>
        <v>21118</v>
      </c>
    </row>
    <row r="124" spans="2:10" x14ac:dyDescent="0.3">
      <c r="B124" s="3">
        <v>3519</v>
      </c>
      <c r="C124" s="7" t="s">
        <v>125</v>
      </c>
      <c r="D124" s="10">
        <f t="shared" si="10"/>
        <v>106</v>
      </c>
      <c r="E124" s="10">
        <f t="shared" si="8"/>
        <v>19</v>
      </c>
      <c r="F124" s="5" t="str">
        <f t="shared" si="11"/>
        <v>21019;21119</v>
      </c>
      <c r="G124" t="s">
        <v>144</v>
      </c>
      <c r="I124">
        <f t="shared" si="9"/>
        <v>21019</v>
      </c>
      <c r="J124">
        <f t="shared" si="6"/>
        <v>21119</v>
      </c>
    </row>
    <row r="125" spans="2:10" x14ac:dyDescent="0.3">
      <c r="B125" s="3">
        <v>3520</v>
      </c>
      <c r="C125" s="7" t="s">
        <v>125</v>
      </c>
      <c r="D125" s="10">
        <f t="shared" si="10"/>
        <v>106</v>
      </c>
      <c r="E125" s="10">
        <f t="shared" si="8"/>
        <v>20</v>
      </c>
      <c r="F125" s="5" t="str">
        <f t="shared" si="11"/>
        <v>21020;21120</v>
      </c>
      <c r="G125" t="s">
        <v>145</v>
      </c>
      <c r="I125">
        <f t="shared" si="9"/>
        <v>21020</v>
      </c>
      <c r="J125">
        <f t="shared" si="6"/>
        <v>21120</v>
      </c>
    </row>
    <row r="126" spans="2:10" x14ac:dyDescent="0.3">
      <c r="B126" s="3">
        <v>3601</v>
      </c>
      <c r="C126" s="7" t="s">
        <v>146</v>
      </c>
      <c r="D126" s="10">
        <f t="shared" si="10"/>
        <v>107</v>
      </c>
      <c r="E126" s="10">
        <f t="shared" si="8"/>
        <v>1</v>
      </c>
      <c r="F126" s="5" t="str">
        <f t="shared" si="11"/>
        <v>21201</v>
      </c>
      <c r="G126" t="s">
        <v>147</v>
      </c>
      <c r="I126">
        <f t="shared" si="9"/>
        <v>21201</v>
      </c>
    </row>
    <row r="127" spans="2:10" x14ac:dyDescent="0.3">
      <c r="B127" s="3">
        <v>3602</v>
      </c>
      <c r="C127" s="7" t="s">
        <v>146</v>
      </c>
      <c r="D127" s="10">
        <f t="shared" si="10"/>
        <v>107</v>
      </c>
      <c r="E127" s="10">
        <f t="shared" si="8"/>
        <v>2</v>
      </c>
      <c r="F127" s="5" t="str">
        <f t="shared" si="11"/>
        <v>21202</v>
      </c>
      <c r="G127" t="s">
        <v>148</v>
      </c>
      <c r="I127">
        <f t="shared" si="9"/>
        <v>21202</v>
      </c>
    </row>
    <row r="128" spans="2:10" x14ac:dyDescent="0.3">
      <c r="B128" s="3">
        <v>3603</v>
      </c>
      <c r="C128" s="7" t="s">
        <v>146</v>
      </c>
      <c r="D128" s="10">
        <f t="shared" si="10"/>
        <v>107</v>
      </c>
      <c r="E128" s="10">
        <f t="shared" si="8"/>
        <v>3</v>
      </c>
      <c r="F128" s="5" t="str">
        <f t="shared" si="11"/>
        <v>21203</v>
      </c>
      <c r="G128" t="s">
        <v>149</v>
      </c>
      <c r="I128">
        <f t="shared" si="9"/>
        <v>21203</v>
      </c>
    </row>
    <row r="129" spans="2:9" x14ac:dyDescent="0.3">
      <c r="B129" s="3">
        <v>3604</v>
      </c>
      <c r="C129" s="7" t="s">
        <v>146</v>
      </c>
      <c r="D129" s="10">
        <f t="shared" si="10"/>
        <v>107</v>
      </c>
      <c r="E129" s="10">
        <f t="shared" si="8"/>
        <v>4</v>
      </c>
      <c r="F129" s="5" t="str">
        <f t="shared" si="11"/>
        <v>21204</v>
      </c>
      <c r="G129" t="s">
        <v>150</v>
      </c>
      <c r="I129">
        <f t="shared" si="9"/>
        <v>21204</v>
      </c>
    </row>
    <row r="130" spans="2:9" x14ac:dyDescent="0.3">
      <c r="B130" s="3">
        <v>3605</v>
      </c>
      <c r="C130" s="7" t="s">
        <v>146</v>
      </c>
      <c r="D130" s="10">
        <f t="shared" si="10"/>
        <v>107</v>
      </c>
      <c r="E130" s="10">
        <f t="shared" si="8"/>
        <v>5</v>
      </c>
      <c r="F130" s="5" t="str">
        <f t="shared" si="11"/>
        <v>21205</v>
      </c>
      <c r="G130" t="s">
        <v>151</v>
      </c>
      <c r="I130">
        <f t="shared" si="9"/>
        <v>21205</v>
      </c>
    </row>
    <row r="131" spans="2:9" x14ac:dyDescent="0.3">
      <c r="B131" s="3">
        <v>3606</v>
      </c>
      <c r="C131" s="7" t="s">
        <v>146</v>
      </c>
      <c r="D131" s="10">
        <f t="shared" si="10"/>
        <v>107</v>
      </c>
      <c r="E131" s="10">
        <f t="shared" si="8"/>
        <v>6</v>
      </c>
      <c r="F131" s="5" t="str">
        <f t="shared" si="11"/>
        <v>21206</v>
      </c>
      <c r="G131" t="s">
        <v>152</v>
      </c>
      <c r="I131">
        <f t="shared" si="9"/>
        <v>21206</v>
      </c>
    </row>
    <row r="132" spans="2:9" x14ac:dyDescent="0.3">
      <c r="B132" s="3">
        <v>3607</v>
      </c>
      <c r="C132" s="7" t="s">
        <v>146</v>
      </c>
      <c r="D132" s="10">
        <f t="shared" si="10"/>
        <v>107</v>
      </c>
      <c r="E132" s="10">
        <f t="shared" si="8"/>
        <v>7</v>
      </c>
      <c r="F132" s="5" t="str">
        <f t="shared" si="11"/>
        <v>21207</v>
      </c>
      <c r="G132" t="s">
        <v>153</v>
      </c>
      <c r="I132">
        <f t="shared" si="9"/>
        <v>21207</v>
      </c>
    </row>
    <row r="133" spans="2:9" x14ac:dyDescent="0.3">
      <c r="B133" s="3">
        <v>3608</v>
      </c>
      <c r="C133" s="7" t="s">
        <v>146</v>
      </c>
      <c r="D133" s="10">
        <f t="shared" si="10"/>
        <v>107</v>
      </c>
      <c r="E133" s="10">
        <f t="shared" si="8"/>
        <v>8</v>
      </c>
      <c r="F133" s="5" t="str">
        <f t="shared" si="11"/>
        <v>21208</v>
      </c>
      <c r="G133" t="s">
        <v>154</v>
      </c>
      <c r="I133">
        <f t="shared" si="9"/>
        <v>21208</v>
      </c>
    </row>
    <row r="134" spans="2:9" x14ac:dyDescent="0.3">
      <c r="B134" s="3">
        <v>3609</v>
      </c>
      <c r="C134" s="7" t="s">
        <v>146</v>
      </c>
      <c r="D134" s="10">
        <f t="shared" si="10"/>
        <v>107</v>
      </c>
      <c r="E134" s="10">
        <f t="shared" si="8"/>
        <v>9</v>
      </c>
      <c r="F134" s="5" t="str">
        <f t="shared" si="11"/>
        <v>21209</v>
      </c>
      <c r="G134" t="s">
        <v>155</v>
      </c>
      <c r="I134">
        <f t="shared" si="9"/>
        <v>21209</v>
      </c>
    </row>
    <row r="135" spans="2:9" x14ac:dyDescent="0.3">
      <c r="B135" s="3">
        <v>3610</v>
      </c>
      <c r="C135" s="7" t="s">
        <v>146</v>
      </c>
      <c r="D135" s="10">
        <f t="shared" si="10"/>
        <v>107</v>
      </c>
      <c r="E135" s="10">
        <f t="shared" si="8"/>
        <v>10</v>
      </c>
      <c r="F135" s="5" t="str">
        <f t="shared" si="11"/>
        <v>21210</v>
      </c>
      <c r="G135" t="s">
        <v>156</v>
      </c>
      <c r="I135">
        <f t="shared" si="9"/>
        <v>21210</v>
      </c>
    </row>
    <row r="136" spans="2:9" x14ac:dyDescent="0.3">
      <c r="B136" s="3">
        <v>3611</v>
      </c>
      <c r="C136" s="7" t="s">
        <v>146</v>
      </c>
      <c r="D136" s="10">
        <f t="shared" si="10"/>
        <v>107</v>
      </c>
      <c r="E136" s="10">
        <f t="shared" si="8"/>
        <v>11</v>
      </c>
      <c r="F136" s="5" t="str">
        <f t="shared" si="11"/>
        <v>21211</v>
      </c>
      <c r="G136" t="s">
        <v>157</v>
      </c>
      <c r="I136">
        <f t="shared" si="9"/>
        <v>21211</v>
      </c>
    </row>
    <row r="137" spans="2:9" x14ac:dyDescent="0.3">
      <c r="B137" s="3">
        <v>3612</v>
      </c>
      <c r="C137" s="7" t="s">
        <v>146</v>
      </c>
      <c r="D137" s="10">
        <f t="shared" si="10"/>
        <v>107</v>
      </c>
      <c r="E137" s="10">
        <f t="shared" si="8"/>
        <v>12</v>
      </c>
      <c r="F137" s="5" t="str">
        <f t="shared" si="11"/>
        <v>21212</v>
      </c>
      <c r="G137" t="s">
        <v>158</v>
      </c>
      <c r="I137">
        <f t="shared" si="9"/>
        <v>21212</v>
      </c>
    </row>
    <row r="138" spans="2:9" x14ac:dyDescent="0.3">
      <c r="B138" s="3">
        <v>3613</v>
      </c>
      <c r="C138" s="7" t="s">
        <v>146</v>
      </c>
      <c r="D138" s="10">
        <f t="shared" si="10"/>
        <v>107</v>
      </c>
      <c r="E138" s="10">
        <f t="shared" si="8"/>
        <v>13</v>
      </c>
      <c r="F138" s="5" t="str">
        <f t="shared" si="11"/>
        <v>21213</v>
      </c>
      <c r="G138" t="s">
        <v>159</v>
      </c>
      <c r="I138">
        <f t="shared" si="9"/>
        <v>21213</v>
      </c>
    </row>
    <row r="139" spans="2:9" x14ac:dyDescent="0.3">
      <c r="B139" s="3">
        <v>3614</v>
      </c>
      <c r="C139" s="7" t="s">
        <v>146</v>
      </c>
      <c r="D139" s="10">
        <f t="shared" si="10"/>
        <v>107</v>
      </c>
      <c r="E139" s="10">
        <f t="shared" si="8"/>
        <v>14</v>
      </c>
      <c r="F139" s="5" t="str">
        <f t="shared" si="11"/>
        <v>21214</v>
      </c>
      <c r="G139" t="s">
        <v>160</v>
      </c>
      <c r="I139">
        <f t="shared" si="9"/>
        <v>21214</v>
      </c>
    </row>
    <row r="140" spans="2:9" x14ac:dyDescent="0.3">
      <c r="B140" s="3">
        <v>3615</v>
      </c>
      <c r="C140" s="7" t="s">
        <v>146</v>
      </c>
      <c r="D140" s="10">
        <f t="shared" si="10"/>
        <v>107</v>
      </c>
      <c r="E140" s="10">
        <f t="shared" si="8"/>
        <v>15</v>
      </c>
      <c r="F140" s="5" t="str">
        <f t="shared" si="11"/>
        <v>21215</v>
      </c>
      <c r="G140" t="s">
        <v>161</v>
      </c>
      <c r="I140">
        <f t="shared" si="9"/>
        <v>21215</v>
      </c>
    </row>
    <row r="141" spans="2:9" x14ac:dyDescent="0.3">
      <c r="B141" s="3">
        <v>3616</v>
      </c>
      <c r="C141" s="7" t="s">
        <v>146</v>
      </c>
      <c r="D141" s="10">
        <f t="shared" si="10"/>
        <v>107</v>
      </c>
      <c r="E141" s="10">
        <f t="shared" si="8"/>
        <v>16</v>
      </c>
      <c r="F141" s="5" t="str">
        <f t="shared" si="11"/>
        <v>21216</v>
      </c>
      <c r="G141" t="s">
        <v>162</v>
      </c>
      <c r="I141">
        <f t="shared" si="9"/>
        <v>21216</v>
      </c>
    </row>
    <row r="142" spans="2:9" x14ac:dyDescent="0.3">
      <c r="B142" s="3">
        <v>3617</v>
      </c>
      <c r="C142" s="7" t="s">
        <v>146</v>
      </c>
      <c r="D142" s="10">
        <f t="shared" si="10"/>
        <v>107</v>
      </c>
      <c r="E142" s="10">
        <f t="shared" si="8"/>
        <v>17</v>
      </c>
      <c r="F142" s="5" t="str">
        <f t="shared" si="11"/>
        <v>21217</v>
      </c>
      <c r="G142" t="s">
        <v>163</v>
      </c>
      <c r="I142">
        <f t="shared" si="9"/>
        <v>21217</v>
      </c>
    </row>
    <row r="143" spans="2:9" x14ac:dyDescent="0.3">
      <c r="B143" s="3">
        <v>3618</v>
      </c>
      <c r="C143" s="7" t="s">
        <v>146</v>
      </c>
      <c r="D143" s="10">
        <f t="shared" si="10"/>
        <v>107</v>
      </c>
      <c r="E143" s="10">
        <f t="shared" si="8"/>
        <v>18</v>
      </c>
      <c r="F143" s="5" t="str">
        <f t="shared" si="11"/>
        <v>21218</v>
      </c>
      <c r="G143" t="s">
        <v>164</v>
      </c>
      <c r="I143">
        <f t="shared" si="9"/>
        <v>21218</v>
      </c>
    </row>
    <row r="144" spans="2:9" x14ac:dyDescent="0.3">
      <c r="B144" s="3">
        <v>3619</v>
      </c>
      <c r="C144" s="7" t="s">
        <v>146</v>
      </c>
      <c r="D144" s="10">
        <f t="shared" si="10"/>
        <v>107</v>
      </c>
      <c r="E144" s="10">
        <f t="shared" si="8"/>
        <v>19</v>
      </c>
      <c r="F144" s="5" t="str">
        <f t="shared" si="11"/>
        <v>21219</v>
      </c>
      <c r="G144" t="s">
        <v>165</v>
      </c>
      <c r="I144">
        <f t="shared" si="9"/>
        <v>21219</v>
      </c>
    </row>
    <row r="145" spans="2:9" x14ac:dyDescent="0.3">
      <c r="B145" s="3">
        <v>3620</v>
      </c>
      <c r="C145" s="7" t="s">
        <v>146</v>
      </c>
      <c r="D145" s="10">
        <f t="shared" si="10"/>
        <v>107</v>
      </c>
      <c r="E145" s="10">
        <f t="shared" si="8"/>
        <v>20</v>
      </c>
      <c r="F145" s="5" t="str">
        <f t="shared" si="11"/>
        <v>21220</v>
      </c>
      <c r="G145" t="s">
        <v>166</v>
      </c>
      <c r="I145">
        <f t="shared" si="9"/>
        <v>21220</v>
      </c>
    </row>
    <row r="146" spans="2:9" x14ac:dyDescent="0.3">
      <c r="B146" s="3">
        <v>3701</v>
      </c>
      <c r="C146" s="7" t="s">
        <v>167</v>
      </c>
      <c r="D146" s="10">
        <f t="shared" si="10"/>
        <v>108</v>
      </c>
      <c r="E146" s="10">
        <f t="shared" si="8"/>
        <v>1</v>
      </c>
      <c r="F146" s="5" t="str">
        <f t="shared" si="11"/>
        <v>21301</v>
      </c>
      <c r="G146" t="s">
        <v>168</v>
      </c>
      <c r="I146">
        <f>I126+100</f>
        <v>21301</v>
      </c>
    </row>
    <row r="147" spans="2:9" x14ac:dyDescent="0.3">
      <c r="B147" s="3">
        <v>3702</v>
      </c>
      <c r="C147" s="7" t="s">
        <v>167</v>
      </c>
      <c r="D147" s="10">
        <f t="shared" si="10"/>
        <v>108</v>
      </c>
      <c r="E147" s="10">
        <f t="shared" si="8"/>
        <v>2</v>
      </c>
      <c r="F147" s="5" t="str">
        <f t="shared" si="11"/>
        <v>21302</v>
      </c>
      <c r="G147" t="s">
        <v>169</v>
      </c>
      <c r="I147">
        <f t="shared" ref="I147:I165" si="12">I127+100</f>
        <v>21302</v>
      </c>
    </row>
    <row r="148" spans="2:9" x14ac:dyDescent="0.3">
      <c r="B148" s="3">
        <v>3703</v>
      </c>
      <c r="C148" s="7" t="s">
        <v>167</v>
      </c>
      <c r="D148" s="10">
        <f t="shared" si="10"/>
        <v>108</v>
      </c>
      <c r="E148" s="10">
        <f t="shared" si="8"/>
        <v>3</v>
      </c>
      <c r="F148" s="5" t="str">
        <f t="shared" si="11"/>
        <v>21303</v>
      </c>
      <c r="G148" t="s">
        <v>170</v>
      </c>
      <c r="I148">
        <f t="shared" si="12"/>
        <v>21303</v>
      </c>
    </row>
    <row r="149" spans="2:9" x14ac:dyDescent="0.3">
      <c r="B149" s="3">
        <v>3704</v>
      </c>
      <c r="C149" s="7" t="s">
        <v>167</v>
      </c>
      <c r="D149" s="10">
        <f t="shared" si="10"/>
        <v>108</v>
      </c>
      <c r="E149" s="10">
        <f t="shared" si="8"/>
        <v>4</v>
      </c>
      <c r="F149" s="5" t="str">
        <f t="shared" si="11"/>
        <v>21304</v>
      </c>
      <c r="G149" t="s">
        <v>171</v>
      </c>
      <c r="I149">
        <f t="shared" si="12"/>
        <v>21304</v>
      </c>
    </row>
    <row r="150" spans="2:9" x14ac:dyDescent="0.3">
      <c r="B150" s="3">
        <v>3705</v>
      </c>
      <c r="C150" s="7" t="s">
        <v>167</v>
      </c>
      <c r="D150" s="10">
        <f t="shared" si="10"/>
        <v>108</v>
      </c>
      <c r="E150" s="10">
        <f t="shared" si="8"/>
        <v>5</v>
      </c>
      <c r="F150" s="5" t="str">
        <f t="shared" si="11"/>
        <v>21305</v>
      </c>
      <c r="G150" t="s">
        <v>172</v>
      </c>
      <c r="I150">
        <f t="shared" si="12"/>
        <v>21305</v>
      </c>
    </row>
    <row r="151" spans="2:9" x14ac:dyDescent="0.3">
      <c r="B151" s="3">
        <v>3706</v>
      </c>
      <c r="C151" s="7" t="s">
        <v>167</v>
      </c>
      <c r="D151" s="10">
        <f t="shared" si="10"/>
        <v>108</v>
      </c>
      <c r="E151" s="10">
        <f t="shared" si="8"/>
        <v>6</v>
      </c>
      <c r="F151" s="5" t="str">
        <f t="shared" si="11"/>
        <v>21306</v>
      </c>
      <c r="G151" t="s">
        <v>173</v>
      </c>
      <c r="I151">
        <f t="shared" si="12"/>
        <v>21306</v>
      </c>
    </row>
    <row r="152" spans="2:9" x14ac:dyDescent="0.3">
      <c r="B152" s="3">
        <v>3707</v>
      </c>
      <c r="C152" s="7" t="s">
        <v>167</v>
      </c>
      <c r="D152" s="10">
        <f t="shared" si="10"/>
        <v>108</v>
      </c>
      <c r="E152" s="10">
        <f t="shared" si="8"/>
        <v>7</v>
      </c>
      <c r="F152" s="5" t="str">
        <f t="shared" si="11"/>
        <v>21307</v>
      </c>
      <c r="G152" t="s">
        <v>174</v>
      </c>
      <c r="I152">
        <f t="shared" si="12"/>
        <v>21307</v>
      </c>
    </row>
    <row r="153" spans="2:9" x14ac:dyDescent="0.3">
      <c r="B153" s="3">
        <v>3708</v>
      </c>
      <c r="C153" s="7" t="s">
        <v>167</v>
      </c>
      <c r="D153" s="10">
        <f t="shared" si="10"/>
        <v>108</v>
      </c>
      <c r="E153" s="10">
        <f t="shared" si="8"/>
        <v>8</v>
      </c>
      <c r="F153" s="5" t="str">
        <f t="shared" si="11"/>
        <v>21308</v>
      </c>
      <c r="G153" t="s">
        <v>175</v>
      </c>
      <c r="I153">
        <f t="shared" si="12"/>
        <v>21308</v>
      </c>
    </row>
    <row r="154" spans="2:9" x14ac:dyDescent="0.3">
      <c r="B154" s="3">
        <v>3709</v>
      </c>
      <c r="C154" s="7" t="s">
        <v>167</v>
      </c>
      <c r="D154" s="10">
        <f t="shared" si="10"/>
        <v>108</v>
      </c>
      <c r="E154" s="10">
        <f t="shared" si="8"/>
        <v>9</v>
      </c>
      <c r="F154" s="5" t="str">
        <f t="shared" si="11"/>
        <v>21309</v>
      </c>
      <c r="G154" t="s">
        <v>176</v>
      </c>
      <c r="I154">
        <f t="shared" si="12"/>
        <v>21309</v>
      </c>
    </row>
    <row r="155" spans="2:9" x14ac:dyDescent="0.3">
      <c r="B155" s="3">
        <v>3710</v>
      </c>
      <c r="C155" s="7" t="s">
        <v>167</v>
      </c>
      <c r="D155" s="10">
        <f t="shared" si="10"/>
        <v>108</v>
      </c>
      <c r="E155" s="10">
        <f t="shared" ref="E155:E165" si="13">E135</f>
        <v>10</v>
      </c>
      <c r="F155" s="5" t="str">
        <f t="shared" si="11"/>
        <v>21310</v>
      </c>
      <c r="G155" t="s">
        <v>177</v>
      </c>
      <c r="I155">
        <f t="shared" si="12"/>
        <v>21310</v>
      </c>
    </row>
    <row r="156" spans="2:9" x14ac:dyDescent="0.3">
      <c r="B156" s="3">
        <v>3711</v>
      </c>
      <c r="C156" s="7" t="s">
        <v>167</v>
      </c>
      <c r="D156" s="10">
        <f t="shared" si="10"/>
        <v>108</v>
      </c>
      <c r="E156" s="10">
        <f t="shared" si="13"/>
        <v>11</v>
      </c>
      <c r="F156" s="5" t="str">
        <f t="shared" si="11"/>
        <v>21311</v>
      </c>
      <c r="G156" t="s">
        <v>178</v>
      </c>
      <c r="I156">
        <f t="shared" si="12"/>
        <v>21311</v>
      </c>
    </row>
    <row r="157" spans="2:9" x14ac:dyDescent="0.3">
      <c r="B157" s="3">
        <v>3712</v>
      </c>
      <c r="C157" s="7" t="s">
        <v>167</v>
      </c>
      <c r="D157" s="10">
        <f t="shared" si="10"/>
        <v>108</v>
      </c>
      <c r="E157" s="10">
        <f t="shared" si="13"/>
        <v>12</v>
      </c>
      <c r="F157" s="5" t="str">
        <f t="shared" si="11"/>
        <v>21312</v>
      </c>
      <c r="G157" t="s">
        <v>179</v>
      </c>
      <c r="I157">
        <f t="shared" si="12"/>
        <v>21312</v>
      </c>
    </row>
    <row r="158" spans="2:9" x14ac:dyDescent="0.3">
      <c r="B158" s="3">
        <v>3713</v>
      </c>
      <c r="C158" s="7" t="s">
        <v>167</v>
      </c>
      <c r="D158" s="10">
        <f t="shared" si="10"/>
        <v>108</v>
      </c>
      <c r="E158" s="10">
        <f t="shared" si="13"/>
        <v>13</v>
      </c>
      <c r="F158" s="5" t="str">
        <f t="shared" si="11"/>
        <v>21313</v>
      </c>
      <c r="G158" t="s">
        <v>180</v>
      </c>
      <c r="I158">
        <f t="shared" si="12"/>
        <v>21313</v>
      </c>
    </row>
    <row r="159" spans="2:9" x14ac:dyDescent="0.3">
      <c r="B159" s="3">
        <v>3714</v>
      </c>
      <c r="C159" s="7" t="s">
        <v>167</v>
      </c>
      <c r="D159" s="10">
        <f t="shared" si="10"/>
        <v>108</v>
      </c>
      <c r="E159" s="10">
        <f t="shared" si="13"/>
        <v>14</v>
      </c>
      <c r="F159" s="5" t="str">
        <f t="shared" si="11"/>
        <v>21314</v>
      </c>
      <c r="G159" t="s">
        <v>181</v>
      </c>
      <c r="I159">
        <f t="shared" si="12"/>
        <v>21314</v>
      </c>
    </row>
    <row r="160" spans="2:9" x14ac:dyDescent="0.3">
      <c r="B160" s="3">
        <v>3715</v>
      </c>
      <c r="C160" s="7" t="s">
        <v>167</v>
      </c>
      <c r="D160" s="10">
        <f t="shared" si="10"/>
        <v>108</v>
      </c>
      <c r="E160" s="10">
        <f t="shared" si="13"/>
        <v>15</v>
      </c>
      <c r="F160" s="5" t="str">
        <f t="shared" si="11"/>
        <v>21315</v>
      </c>
      <c r="G160" t="s">
        <v>182</v>
      </c>
      <c r="I160">
        <f t="shared" si="12"/>
        <v>21315</v>
      </c>
    </row>
    <row r="161" spans="2:9" x14ac:dyDescent="0.3">
      <c r="B161" s="3">
        <v>3716</v>
      </c>
      <c r="C161" s="7" t="s">
        <v>167</v>
      </c>
      <c r="D161" s="10">
        <f t="shared" ref="D161:D165" si="14">D141+1</f>
        <v>108</v>
      </c>
      <c r="E161" s="10">
        <f t="shared" si="13"/>
        <v>16</v>
      </c>
      <c r="F161" s="5" t="str">
        <f t="shared" ref="F161:F165" si="15">_xlfn.TEXTJOIN(";",1,I161:J161)</f>
        <v>21316</v>
      </c>
      <c r="G161" t="s">
        <v>183</v>
      </c>
      <c r="I161">
        <f t="shared" si="12"/>
        <v>21316</v>
      </c>
    </row>
    <row r="162" spans="2:9" x14ac:dyDescent="0.3">
      <c r="B162" s="3">
        <v>3717</v>
      </c>
      <c r="C162" s="7" t="s">
        <v>167</v>
      </c>
      <c r="D162" s="10">
        <f t="shared" si="14"/>
        <v>108</v>
      </c>
      <c r="E162" s="10">
        <f t="shared" si="13"/>
        <v>17</v>
      </c>
      <c r="F162" s="5" t="str">
        <f t="shared" si="15"/>
        <v>21317</v>
      </c>
      <c r="G162" t="s">
        <v>184</v>
      </c>
      <c r="I162">
        <f t="shared" si="12"/>
        <v>21317</v>
      </c>
    </row>
    <row r="163" spans="2:9" x14ac:dyDescent="0.3">
      <c r="B163" s="3">
        <v>3718</v>
      </c>
      <c r="C163" s="7" t="s">
        <v>167</v>
      </c>
      <c r="D163" s="10">
        <f t="shared" si="14"/>
        <v>108</v>
      </c>
      <c r="E163" s="10">
        <f t="shared" si="13"/>
        <v>18</v>
      </c>
      <c r="F163" s="5" t="str">
        <f t="shared" si="15"/>
        <v>21318</v>
      </c>
      <c r="G163" t="s">
        <v>185</v>
      </c>
      <c r="I163">
        <f t="shared" si="12"/>
        <v>21318</v>
      </c>
    </row>
    <row r="164" spans="2:9" x14ac:dyDescent="0.3">
      <c r="B164" s="3">
        <v>3719</v>
      </c>
      <c r="C164" s="7" t="s">
        <v>167</v>
      </c>
      <c r="D164" s="10">
        <f t="shared" si="14"/>
        <v>108</v>
      </c>
      <c r="E164" s="10">
        <f t="shared" si="13"/>
        <v>19</v>
      </c>
      <c r="F164" s="5" t="str">
        <f t="shared" si="15"/>
        <v>21319</v>
      </c>
      <c r="G164" t="s">
        <v>186</v>
      </c>
      <c r="I164">
        <f t="shared" si="12"/>
        <v>21319</v>
      </c>
    </row>
    <row r="165" spans="2:9" x14ac:dyDescent="0.3">
      <c r="B165" s="3">
        <v>3720</v>
      </c>
      <c r="C165" s="7" t="s">
        <v>167</v>
      </c>
      <c r="D165" s="10">
        <f t="shared" si="14"/>
        <v>108</v>
      </c>
      <c r="E165" s="10">
        <f t="shared" si="13"/>
        <v>20</v>
      </c>
      <c r="F165" s="5" t="str">
        <f t="shared" si="15"/>
        <v>21320</v>
      </c>
      <c r="G165" t="s">
        <v>187</v>
      </c>
      <c r="I165">
        <f t="shared" si="12"/>
        <v>21320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abSelected="1" workbookViewId="0">
      <pane ySplit="5" topLeftCell="A6" activePane="bottomLeft" state="frozen"/>
      <selection pane="bottomLeft" activeCell="G14" sqref="G14"/>
    </sheetView>
  </sheetViews>
  <sheetFormatPr defaultColWidth="9" defaultRowHeight="13.5" x14ac:dyDescent="0.3"/>
  <cols>
    <col min="2" max="2" width="9.46484375" style="3" customWidth="1"/>
    <col min="3" max="3" width="10.3984375" customWidth="1"/>
    <col min="4" max="4" width="13" customWidth="1"/>
    <col min="5" max="5" width="31.1328125" customWidth="1"/>
  </cols>
  <sheetData>
    <row r="1" spans="1:8" x14ac:dyDescent="0.3">
      <c r="A1" s="2" t="s">
        <v>0</v>
      </c>
      <c r="B1" s="3" t="s">
        <v>14</v>
      </c>
      <c r="C1" s="5" t="s">
        <v>188</v>
      </c>
      <c r="D1" s="7" t="s">
        <v>189</v>
      </c>
      <c r="E1" t="s">
        <v>190</v>
      </c>
      <c r="F1" s="5" t="s">
        <v>191</v>
      </c>
      <c r="G1" t="s">
        <v>192</v>
      </c>
      <c r="H1" s="5" t="s">
        <v>232</v>
      </c>
    </row>
    <row r="2" spans="1:8" x14ac:dyDescent="0.3">
      <c r="A2" s="2" t="s">
        <v>0</v>
      </c>
      <c r="B2" s="1"/>
      <c r="C2" s="1"/>
      <c r="E2" s="1"/>
      <c r="F2" s="1"/>
      <c r="H2" s="1"/>
    </row>
    <row r="3" spans="1:8" x14ac:dyDescent="0.3">
      <c r="A3" s="6" t="s">
        <v>8</v>
      </c>
      <c r="B3" s="1" t="s">
        <v>9</v>
      </c>
      <c r="C3" s="1" t="s">
        <v>9</v>
      </c>
      <c r="D3" t="s">
        <v>9</v>
      </c>
      <c r="E3" s="7" t="s">
        <v>193</v>
      </c>
      <c r="F3" t="s">
        <v>9</v>
      </c>
      <c r="G3" t="s">
        <v>9</v>
      </c>
      <c r="H3" s="1" t="s">
        <v>9</v>
      </c>
    </row>
    <row r="4" spans="1:8" x14ac:dyDescent="0.3">
      <c r="A4" s="6" t="s">
        <v>12</v>
      </c>
      <c r="B4" s="1"/>
      <c r="C4" s="5"/>
      <c r="D4" s="5" t="s">
        <v>194</v>
      </c>
      <c r="E4" s="5"/>
      <c r="F4" s="5" t="s">
        <v>194</v>
      </c>
      <c r="G4" s="5" t="s">
        <v>194</v>
      </c>
      <c r="H4" s="5" t="s">
        <v>194</v>
      </c>
    </row>
    <row r="5" spans="1:8" x14ac:dyDescent="0.3">
      <c r="A5" s="2" t="s">
        <v>7</v>
      </c>
      <c r="B5" s="1" t="s">
        <v>14</v>
      </c>
      <c r="C5" s="1" t="s">
        <v>195</v>
      </c>
      <c r="D5" s="7" t="s">
        <v>196</v>
      </c>
      <c r="E5" s="1" t="s">
        <v>197</v>
      </c>
      <c r="F5" s="5" t="s">
        <v>198</v>
      </c>
      <c r="G5" s="5" t="s">
        <v>199</v>
      </c>
      <c r="H5" s="5" t="s">
        <v>231</v>
      </c>
    </row>
    <row r="6" spans="1:8" s="1" customFormat="1" x14ac:dyDescent="0.3">
      <c r="B6" s="1">
        <v>1</v>
      </c>
      <c r="C6" s="1">
        <v>66000</v>
      </c>
      <c r="D6" s="1">
        <v>100</v>
      </c>
      <c r="E6" s="1" t="s">
        <v>200</v>
      </c>
      <c r="F6" s="3">
        <v>101</v>
      </c>
      <c r="G6" s="5">
        <v>300</v>
      </c>
      <c r="H6" s="1">
        <v>6000</v>
      </c>
    </row>
    <row r="7" spans="1:8" s="1" customFormat="1" x14ac:dyDescent="0.3">
      <c r="A7"/>
      <c r="B7" s="1">
        <v>2</v>
      </c>
      <c r="C7" s="1">
        <v>288000</v>
      </c>
      <c r="D7" s="1">
        <f>D6+100</f>
        <v>200</v>
      </c>
      <c r="E7" s="1" t="s">
        <v>201</v>
      </c>
      <c r="F7" s="3"/>
      <c r="G7" s="5">
        <v>300</v>
      </c>
      <c r="H7" s="1">
        <v>8000</v>
      </c>
    </row>
    <row r="8" spans="1:8" s="1" customFormat="1" x14ac:dyDescent="0.3">
      <c r="A8"/>
      <c r="B8" s="1">
        <v>3</v>
      </c>
      <c r="C8" s="1">
        <v>702000</v>
      </c>
      <c r="D8" s="1">
        <f t="shared" ref="D8:D24" si="0">D7+100</f>
        <v>300</v>
      </c>
      <c r="E8" s="1" t="s">
        <v>202</v>
      </c>
      <c r="F8" s="3">
        <v>102</v>
      </c>
      <c r="G8" s="5">
        <v>300</v>
      </c>
      <c r="H8" s="1">
        <v>10000</v>
      </c>
    </row>
    <row r="9" spans="1:8" s="1" customFormat="1" x14ac:dyDescent="0.3">
      <c r="A9"/>
      <c r="B9" s="1">
        <v>4</v>
      </c>
      <c r="C9" s="1">
        <v>1344000</v>
      </c>
      <c r="D9" s="1">
        <f t="shared" si="0"/>
        <v>400</v>
      </c>
      <c r="E9" s="1" t="s">
        <v>203</v>
      </c>
      <c r="F9" s="3"/>
      <c r="G9" s="5">
        <v>300</v>
      </c>
      <c r="H9" s="1">
        <v>12000</v>
      </c>
    </row>
    <row r="10" spans="1:8" s="1" customFormat="1" x14ac:dyDescent="0.3">
      <c r="A10"/>
      <c r="B10" s="1">
        <v>5</v>
      </c>
      <c r="C10" s="1">
        <v>2250000</v>
      </c>
      <c r="D10" s="1">
        <f t="shared" si="0"/>
        <v>500</v>
      </c>
      <c r="E10" s="1" t="s">
        <v>204</v>
      </c>
      <c r="F10" s="3">
        <v>103</v>
      </c>
      <c r="G10" s="5">
        <v>300</v>
      </c>
      <c r="H10" s="1">
        <v>14000</v>
      </c>
    </row>
    <row r="11" spans="1:8" s="1" customFormat="1" x14ac:dyDescent="0.3">
      <c r="A11"/>
      <c r="B11" s="1">
        <v>6</v>
      </c>
      <c r="C11" s="1">
        <v>3456000</v>
      </c>
      <c r="D11" s="1">
        <f t="shared" si="0"/>
        <v>600</v>
      </c>
      <c r="E11" s="1" t="s">
        <v>205</v>
      </c>
      <c r="F11" s="3"/>
      <c r="G11" s="5">
        <f>G6+120</f>
        <v>420</v>
      </c>
      <c r="H11" s="1">
        <v>16000</v>
      </c>
    </row>
    <row r="12" spans="1:8" s="1" customFormat="1" x14ac:dyDescent="0.3">
      <c r="A12"/>
      <c r="B12" s="1">
        <v>7</v>
      </c>
      <c r="C12" s="1">
        <v>4998000</v>
      </c>
      <c r="D12" s="1">
        <f t="shared" si="0"/>
        <v>700</v>
      </c>
      <c r="E12" s="1" t="s">
        <v>206</v>
      </c>
      <c r="F12" s="3">
        <v>104</v>
      </c>
      <c r="G12" s="5">
        <f t="shared" ref="G12:G25" si="1">G7+120</f>
        <v>420</v>
      </c>
      <c r="H12" s="1">
        <v>18000</v>
      </c>
    </row>
    <row r="13" spans="1:8" s="1" customFormat="1" x14ac:dyDescent="0.3">
      <c r="A13"/>
      <c r="B13" s="1">
        <v>8</v>
      </c>
      <c r="C13" s="1">
        <v>6912000</v>
      </c>
      <c r="D13" s="1">
        <f t="shared" si="0"/>
        <v>800</v>
      </c>
      <c r="E13" s="1" t="s">
        <v>207</v>
      </c>
      <c r="F13" s="3"/>
      <c r="G13" s="5">
        <f t="shared" si="1"/>
        <v>420</v>
      </c>
      <c r="H13" s="1">
        <v>20000</v>
      </c>
    </row>
    <row r="14" spans="1:8" s="1" customFormat="1" x14ac:dyDescent="0.3">
      <c r="A14"/>
      <c r="B14" s="1">
        <v>9</v>
      </c>
      <c r="C14" s="1">
        <v>9234000</v>
      </c>
      <c r="D14" s="1">
        <f t="shared" si="0"/>
        <v>900</v>
      </c>
      <c r="E14" s="1" t="s">
        <v>208</v>
      </c>
      <c r="F14" s="3">
        <v>105</v>
      </c>
      <c r="G14" s="5">
        <f t="shared" si="1"/>
        <v>420</v>
      </c>
      <c r="H14" s="1">
        <v>22000</v>
      </c>
    </row>
    <row r="15" spans="1:8" x14ac:dyDescent="0.3">
      <c r="B15" s="1">
        <v>10</v>
      </c>
      <c r="C15" s="1">
        <v>12000000</v>
      </c>
      <c r="D15" s="1">
        <f t="shared" si="0"/>
        <v>1000</v>
      </c>
      <c r="E15" t="s">
        <v>209</v>
      </c>
      <c r="F15" s="3"/>
      <c r="G15" s="5">
        <f t="shared" si="1"/>
        <v>420</v>
      </c>
      <c r="H15">
        <v>24000</v>
      </c>
    </row>
    <row r="16" spans="1:8" x14ac:dyDescent="0.3">
      <c r="B16" s="1">
        <v>11</v>
      </c>
      <c r="C16" s="1">
        <v>15246000</v>
      </c>
      <c r="D16" s="1">
        <f t="shared" si="0"/>
        <v>1100</v>
      </c>
      <c r="E16" t="s">
        <v>210</v>
      </c>
      <c r="F16" s="8">
        <v>106</v>
      </c>
      <c r="G16" s="5">
        <f t="shared" si="1"/>
        <v>540</v>
      </c>
      <c r="H16">
        <v>26000</v>
      </c>
    </row>
    <row r="17" spans="2:8" x14ac:dyDescent="0.3">
      <c r="B17" s="1">
        <v>12</v>
      </c>
      <c r="C17">
        <v>19008000</v>
      </c>
      <c r="D17" s="1">
        <f t="shared" si="0"/>
        <v>1200</v>
      </c>
      <c r="E17" t="s">
        <v>211</v>
      </c>
      <c r="F17" s="8"/>
      <c r="G17" s="5">
        <f t="shared" si="1"/>
        <v>540</v>
      </c>
      <c r="H17">
        <v>28000</v>
      </c>
    </row>
    <row r="18" spans="2:8" x14ac:dyDescent="0.3">
      <c r="B18" s="1">
        <v>13</v>
      </c>
      <c r="C18">
        <v>23322000</v>
      </c>
      <c r="D18" s="1">
        <f t="shared" si="0"/>
        <v>1300</v>
      </c>
      <c r="E18" t="s">
        <v>212</v>
      </c>
      <c r="F18" s="8">
        <v>107</v>
      </c>
      <c r="G18" s="5">
        <f t="shared" si="1"/>
        <v>540</v>
      </c>
      <c r="H18">
        <v>30000</v>
      </c>
    </row>
    <row r="19" spans="2:8" x14ac:dyDescent="0.3">
      <c r="B19" s="1">
        <v>14</v>
      </c>
      <c r="C19">
        <v>28224000</v>
      </c>
      <c r="D19" s="1">
        <f t="shared" si="0"/>
        <v>1400</v>
      </c>
      <c r="E19" t="s">
        <v>213</v>
      </c>
      <c r="F19" s="3"/>
      <c r="G19" s="5">
        <f t="shared" si="1"/>
        <v>540</v>
      </c>
      <c r="H19">
        <v>32000</v>
      </c>
    </row>
    <row r="20" spans="2:8" x14ac:dyDescent="0.3">
      <c r="B20" s="1">
        <v>15</v>
      </c>
      <c r="C20">
        <v>33750000</v>
      </c>
      <c r="D20" s="1">
        <f t="shared" si="0"/>
        <v>1500</v>
      </c>
      <c r="E20" t="s">
        <v>214</v>
      </c>
      <c r="F20" s="3">
        <v>108</v>
      </c>
      <c r="G20" s="5">
        <f t="shared" si="1"/>
        <v>540</v>
      </c>
      <c r="H20">
        <v>34000</v>
      </c>
    </row>
    <row r="21" spans="2:8" x14ac:dyDescent="0.3">
      <c r="B21" s="1">
        <v>16</v>
      </c>
      <c r="C21">
        <v>39936000</v>
      </c>
      <c r="D21" s="1">
        <f t="shared" si="0"/>
        <v>1600</v>
      </c>
      <c r="E21" t="s">
        <v>215</v>
      </c>
      <c r="F21" s="3"/>
      <c r="G21" s="5">
        <f t="shared" si="1"/>
        <v>660</v>
      </c>
      <c r="H21">
        <v>36000</v>
      </c>
    </row>
    <row r="22" spans="2:8" x14ac:dyDescent="0.3">
      <c r="B22" s="1">
        <v>17</v>
      </c>
      <c r="C22">
        <v>46818000</v>
      </c>
      <c r="D22" s="1">
        <f t="shared" si="0"/>
        <v>1700</v>
      </c>
      <c r="E22" t="s">
        <v>216</v>
      </c>
      <c r="F22" s="3"/>
      <c r="G22" s="5">
        <f t="shared" si="1"/>
        <v>660</v>
      </c>
      <c r="H22">
        <v>38000</v>
      </c>
    </row>
    <row r="23" spans="2:8" x14ac:dyDescent="0.3">
      <c r="B23" s="1">
        <v>18</v>
      </c>
      <c r="C23">
        <v>54432000</v>
      </c>
      <c r="D23" s="1">
        <f t="shared" si="0"/>
        <v>1800</v>
      </c>
      <c r="E23" t="s">
        <v>217</v>
      </c>
      <c r="F23" s="3"/>
      <c r="G23" s="5">
        <f t="shared" si="1"/>
        <v>660</v>
      </c>
      <c r="H23">
        <v>40000</v>
      </c>
    </row>
    <row r="24" spans="2:8" x14ac:dyDescent="0.3">
      <c r="B24" s="1">
        <v>19</v>
      </c>
      <c r="C24">
        <v>62814000</v>
      </c>
      <c r="D24" s="1">
        <f t="shared" si="0"/>
        <v>1900</v>
      </c>
      <c r="E24" t="s">
        <v>218</v>
      </c>
      <c r="F24" s="3"/>
      <c r="G24" s="5">
        <f t="shared" si="1"/>
        <v>660</v>
      </c>
      <c r="H24">
        <v>42000</v>
      </c>
    </row>
    <row r="25" spans="2:8" x14ac:dyDescent="0.3">
      <c r="B25" s="1">
        <v>20</v>
      </c>
      <c r="C25">
        <v>72000000</v>
      </c>
      <c r="D25" s="1">
        <v>0</v>
      </c>
      <c r="E25" t="s">
        <v>219</v>
      </c>
      <c r="F25" s="3"/>
      <c r="G25" s="5">
        <f t="shared" si="1"/>
        <v>660</v>
      </c>
      <c r="H25">
        <v>44000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D23" sqref="D23"/>
    </sheetView>
  </sheetViews>
  <sheetFormatPr defaultColWidth="9" defaultRowHeight="13.5" x14ac:dyDescent="0.3"/>
  <cols>
    <col min="3" max="3" width="13.1328125" customWidth="1"/>
    <col min="4" max="4" width="23.86328125" customWidth="1"/>
  </cols>
  <sheetData>
    <row r="1" spans="1:4" x14ac:dyDescent="0.3">
      <c r="A1" s="2" t="s">
        <v>0</v>
      </c>
      <c r="B1" s="3" t="s">
        <v>14</v>
      </c>
      <c r="C1" s="4" t="s">
        <v>220</v>
      </c>
      <c r="D1" s="5" t="s">
        <v>221</v>
      </c>
    </row>
    <row r="2" spans="1:4" x14ac:dyDescent="0.3">
      <c r="A2" s="2" t="s">
        <v>0</v>
      </c>
      <c r="B2" s="1"/>
      <c r="C2" s="1"/>
      <c r="D2" s="1"/>
    </row>
    <row r="3" spans="1:4" x14ac:dyDescent="0.3">
      <c r="A3" s="6" t="s">
        <v>8</v>
      </c>
      <c r="B3" s="1" t="s">
        <v>9</v>
      </c>
      <c r="C3" s="1" t="s">
        <v>9</v>
      </c>
      <c r="D3" s="1" t="s">
        <v>10</v>
      </c>
    </row>
    <row r="4" spans="1:4" x14ac:dyDescent="0.3">
      <c r="A4" s="6" t="s">
        <v>12</v>
      </c>
      <c r="B4" s="1"/>
      <c r="C4" s="1"/>
      <c r="D4" s="1"/>
    </row>
    <row r="5" spans="1:4" x14ac:dyDescent="0.3">
      <c r="A5" s="2" t="s">
        <v>7</v>
      </c>
      <c r="B5" s="1" t="s">
        <v>14</v>
      </c>
      <c r="C5" s="5" t="s">
        <v>222</v>
      </c>
      <c r="D5" s="5" t="s">
        <v>221</v>
      </c>
    </row>
    <row r="6" spans="1:4" s="1" customFormat="1" x14ac:dyDescent="0.3">
      <c r="B6" s="1">
        <v>101</v>
      </c>
      <c r="C6" s="1">
        <v>1</v>
      </c>
      <c r="D6" s="1" t="s">
        <v>223</v>
      </c>
    </row>
    <row r="7" spans="1:4" s="1" customFormat="1" x14ac:dyDescent="0.3">
      <c r="A7"/>
      <c r="B7" s="1">
        <v>102</v>
      </c>
      <c r="C7" s="1">
        <v>3</v>
      </c>
      <c r="D7" s="1" t="s">
        <v>224</v>
      </c>
    </row>
    <row r="8" spans="1:4" s="1" customFormat="1" x14ac:dyDescent="0.3">
      <c r="A8"/>
      <c r="B8" s="1">
        <v>103</v>
      </c>
      <c r="C8" s="1">
        <v>5</v>
      </c>
      <c r="D8" s="1" t="s">
        <v>225</v>
      </c>
    </row>
    <row r="9" spans="1:4" s="1" customFormat="1" x14ac:dyDescent="0.3">
      <c r="A9"/>
      <c r="B9" s="1">
        <v>104</v>
      </c>
      <c r="C9" s="1">
        <v>7</v>
      </c>
      <c r="D9" s="1" t="s">
        <v>226</v>
      </c>
    </row>
    <row r="10" spans="1:4" s="1" customFormat="1" x14ac:dyDescent="0.3">
      <c r="A10"/>
      <c r="B10" s="1">
        <v>105</v>
      </c>
      <c r="C10" s="1">
        <v>9</v>
      </c>
      <c r="D10" s="1" t="s">
        <v>227</v>
      </c>
    </row>
    <row r="11" spans="1:4" s="1" customFormat="1" x14ac:dyDescent="0.3">
      <c r="A11"/>
      <c r="B11" s="1">
        <v>106</v>
      </c>
      <c r="C11" s="1">
        <v>11</v>
      </c>
      <c r="D11" s="1" t="s">
        <v>228</v>
      </c>
    </row>
    <row r="12" spans="1:4" s="1" customFormat="1" x14ac:dyDescent="0.3">
      <c r="A12"/>
      <c r="B12" s="1">
        <v>107</v>
      </c>
      <c r="C12" s="1">
        <v>13</v>
      </c>
      <c r="D12" s="1" t="s">
        <v>229</v>
      </c>
    </row>
    <row r="13" spans="1:4" s="1" customFormat="1" x14ac:dyDescent="0.3">
      <c r="A13"/>
      <c r="B13" s="1">
        <v>108</v>
      </c>
      <c r="C13" s="1">
        <v>15</v>
      </c>
      <c r="D13" s="1" t="s">
        <v>230</v>
      </c>
    </row>
    <row r="14" spans="1:4" s="1" customFormat="1" x14ac:dyDescent="0.3">
      <c r="A14"/>
    </row>
    <row r="15" spans="1:4" x14ac:dyDescent="0.3">
      <c r="B15" s="1"/>
      <c r="C15" s="1"/>
      <c r="D15" s="1"/>
    </row>
    <row r="16" spans="1:4" x14ac:dyDescent="0.3">
      <c r="B16" s="1"/>
      <c r="C16" s="1"/>
      <c r="D16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阵法主表</vt:lpstr>
      <vt:lpstr>阵法升级表</vt:lpstr>
      <vt:lpstr>阵法组表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2024-12-31T09:04:54Z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6C86DBBF58D441CCB3B12B6BBAAD3A6A_12</vt:lpwstr>
  </property>
</Properties>
</file>