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DanmuGame\immortal-dataConfig\DataTables\Datas\"/>
    </mc:Choice>
  </mc:AlternateContent>
  <xr:revisionPtr revIDLastSave="0" documentId="13_ncr:1_{D9F50445-CA6D-4124-B598-4A5454CB5ADD}" xr6:coauthVersionLast="47" xr6:coauthVersionMax="47" xr10:uidLastSave="{00000000-0000-0000-0000-000000000000}"/>
  <bookViews>
    <workbookView xWindow="-98" yWindow="-98" windowWidth="24196" windowHeight="14476" activeTab="2" xr2:uid="{00000000-000D-0000-FFFF-FFFF00000000}"/>
  </bookViews>
  <sheets>
    <sheet name="角色主表" sheetId="3" r:id="rId1"/>
    <sheet name="角色升级表" sheetId="1" r:id="rId2"/>
    <sheet name="角色资源表" sheetId="2" r:id="rId3"/>
    <sheet name="角色称号表" sheetId="5" r:id="rId4"/>
    <sheet name="角色资源组表" sheetId="4" r:id="rId5"/>
    <sheet name="角色羁绊表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4" l="1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6" i="6"/>
  <c r="D26" i="4"/>
  <c r="M67" i="1"/>
  <c r="M68" i="1"/>
  <c r="M69" i="1"/>
  <c r="M70" i="1"/>
  <c r="M73" i="1" s="1"/>
  <c r="M76" i="1" s="1"/>
  <c r="M79" i="1" s="1"/>
  <c r="M82" i="1" s="1"/>
  <c r="M85" i="1" s="1"/>
  <c r="M88" i="1" s="1"/>
  <c r="M91" i="1" s="1"/>
  <c r="M94" i="1" s="1"/>
  <c r="M97" i="1" s="1"/>
  <c r="M100" i="1" s="1"/>
  <c r="M103" i="1" s="1"/>
  <c r="M106" i="1" s="1"/>
  <c r="M109" i="1" s="1"/>
  <c r="M112" i="1" s="1"/>
  <c r="M71" i="1"/>
  <c r="M72" i="1"/>
  <c r="M75" i="1" s="1"/>
  <c r="M78" i="1" s="1"/>
  <c r="M81" i="1" s="1"/>
  <c r="M84" i="1" s="1"/>
  <c r="M87" i="1" s="1"/>
  <c r="M90" i="1" s="1"/>
  <c r="M93" i="1" s="1"/>
  <c r="M96" i="1" s="1"/>
  <c r="M99" i="1" s="1"/>
  <c r="M102" i="1" s="1"/>
  <c r="M105" i="1" s="1"/>
  <c r="M108" i="1" s="1"/>
  <c r="M111" i="1" s="1"/>
  <c r="M74" i="1"/>
  <c r="M77" i="1"/>
  <c r="M80" i="1" s="1"/>
  <c r="M83" i="1" s="1"/>
  <c r="M86" i="1" s="1"/>
  <c r="M89" i="1" s="1"/>
  <c r="M92" i="1" s="1"/>
  <c r="M95" i="1" s="1"/>
  <c r="M98" i="1" s="1"/>
  <c r="M101" i="1" s="1"/>
  <c r="M104" i="1" s="1"/>
  <c r="M107" i="1" s="1"/>
  <c r="M110" i="1" s="1"/>
  <c r="M113" i="1" s="1"/>
  <c r="M66" i="1"/>
  <c r="M53" i="1"/>
  <c r="M54" i="1"/>
  <c r="M57" i="1" s="1"/>
  <c r="M60" i="1" s="1"/>
  <c r="M63" i="1" s="1"/>
  <c r="M55" i="1"/>
  <c r="M56" i="1"/>
  <c r="M58" i="1"/>
  <c r="M59" i="1"/>
  <c r="M61" i="1"/>
  <c r="M62" i="1"/>
  <c r="M64" i="1"/>
  <c r="M65" i="1"/>
  <c r="M36" i="1"/>
  <c r="M37" i="1"/>
  <c r="M40" i="1" s="1"/>
  <c r="M43" i="1" s="1"/>
  <c r="M46" i="1" s="1"/>
  <c r="M49" i="1" s="1"/>
  <c r="M52" i="1" s="1"/>
  <c r="M38" i="1"/>
  <c r="M39" i="1"/>
  <c r="M41" i="1"/>
  <c r="M42" i="1"/>
  <c r="M44" i="1"/>
  <c r="M45" i="1"/>
  <c r="M47" i="1"/>
  <c r="M50" i="1" s="1"/>
  <c r="M48" i="1"/>
  <c r="M51" i="1" s="1"/>
  <c r="M30" i="1"/>
  <c r="M31" i="1"/>
  <c r="M32" i="1"/>
  <c r="M35" i="1" s="1"/>
  <c r="M33" i="1"/>
  <c r="M34" i="1"/>
  <c r="M21" i="1"/>
  <c r="M22" i="1"/>
  <c r="M23" i="1"/>
  <c r="M24" i="1"/>
  <c r="M25" i="1"/>
  <c r="M26" i="1"/>
  <c r="M29" i="1" s="1"/>
  <c r="M27" i="1"/>
  <c r="M28" i="1"/>
  <c r="M18" i="1"/>
  <c r="M19" i="1"/>
  <c r="M20" i="1"/>
  <c r="M10" i="1"/>
  <c r="M11" i="1"/>
  <c r="M12" i="1"/>
  <c r="M13" i="1"/>
  <c r="M14" i="1"/>
  <c r="M15" i="1"/>
  <c r="M16" i="1"/>
  <c r="M17" i="1"/>
  <c r="M9" i="1"/>
  <c r="D25" i="4" l="1"/>
  <c r="D24" i="4" l="1"/>
  <c r="D23" i="4" l="1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P113" i="1"/>
  <c r="N113" i="1"/>
  <c r="G113" i="1"/>
  <c r="P112" i="1"/>
  <c r="N112" i="1"/>
  <c r="G112" i="1"/>
  <c r="P111" i="1"/>
  <c r="N111" i="1"/>
  <c r="G111" i="1"/>
  <c r="P110" i="1"/>
  <c r="N110" i="1"/>
  <c r="G110" i="1"/>
  <c r="P109" i="1"/>
  <c r="N109" i="1"/>
  <c r="G109" i="1"/>
  <c r="P108" i="1"/>
  <c r="N108" i="1"/>
  <c r="G108" i="1"/>
  <c r="P107" i="1"/>
  <c r="N107" i="1"/>
  <c r="G107" i="1"/>
  <c r="P106" i="1"/>
  <c r="N106" i="1"/>
  <c r="G106" i="1"/>
  <c r="P105" i="1"/>
  <c r="N105" i="1"/>
  <c r="G105" i="1"/>
  <c r="P104" i="1"/>
  <c r="N104" i="1"/>
  <c r="G104" i="1"/>
  <c r="P103" i="1"/>
  <c r="N103" i="1"/>
  <c r="G103" i="1"/>
  <c r="P102" i="1"/>
  <c r="N102" i="1"/>
  <c r="G102" i="1"/>
  <c r="P101" i="1"/>
  <c r="N101" i="1"/>
  <c r="G101" i="1"/>
  <c r="P100" i="1"/>
  <c r="N100" i="1"/>
  <c r="G100" i="1"/>
  <c r="P99" i="1"/>
  <c r="N99" i="1"/>
  <c r="G99" i="1"/>
  <c r="P98" i="1"/>
  <c r="N98" i="1"/>
  <c r="G98" i="1"/>
  <c r="P97" i="1"/>
  <c r="N97" i="1"/>
  <c r="G97" i="1"/>
  <c r="P96" i="1"/>
  <c r="N96" i="1"/>
  <c r="G96" i="1"/>
  <c r="P95" i="1"/>
  <c r="N95" i="1"/>
  <c r="G95" i="1"/>
  <c r="P94" i="1"/>
  <c r="N94" i="1"/>
  <c r="G94" i="1"/>
  <c r="P93" i="1"/>
  <c r="N93" i="1"/>
  <c r="G93" i="1"/>
  <c r="P92" i="1"/>
  <c r="N92" i="1"/>
  <c r="G92" i="1"/>
  <c r="P91" i="1"/>
  <c r="N91" i="1"/>
  <c r="G91" i="1"/>
  <c r="P90" i="1"/>
  <c r="N90" i="1"/>
  <c r="G90" i="1"/>
  <c r="P89" i="1"/>
  <c r="N89" i="1"/>
  <c r="G89" i="1"/>
  <c r="P88" i="1"/>
  <c r="N88" i="1"/>
  <c r="G88" i="1"/>
  <c r="P87" i="1"/>
  <c r="N87" i="1"/>
  <c r="P86" i="1"/>
  <c r="N86" i="1"/>
  <c r="P85" i="1"/>
  <c r="N85" i="1"/>
  <c r="P84" i="1"/>
  <c r="N84" i="1"/>
  <c r="P83" i="1"/>
  <c r="N83" i="1"/>
  <c r="P82" i="1"/>
  <c r="N82" i="1"/>
  <c r="P81" i="1"/>
  <c r="N81" i="1"/>
  <c r="P80" i="1"/>
  <c r="N80" i="1"/>
  <c r="P79" i="1"/>
  <c r="N79" i="1"/>
  <c r="P78" i="1"/>
  <c r="N78" i="1"/>
  <c r="P77" i="1"/>
  <c r="N77" i="1"/>
  <c r="P76" i="1"/>
  <c r="N76" i="1"/>
  <c r="P75" i="1"/>
  <c r="N75" i="1"/>
  <c r="P74" i="1"/>
  <c r="N74" i="1"/>
  <c r="P73" i="1"/>
  <c r="N73" i="1"/>
  <c r="P72" i="1"/>
  <c r="N72" i="1"/>
  <c r="P71" i="1"/>
  <c r="N71" i="1"/>
  <c r="P70" i="1"/>
  <c r="N70" i="1"/>
  <c r="P69" i="1"/>
  <c r="N69" i="1"/>
  <c r="P68" i="1"/>
  <c r="N68" i="1"/>
  <c r="P67" i="1"/>
  <c r="N67" i="1"/>
  <c r="P66" i="1"/>
  <c r="N66" i="1"/>
  <c r="P65" i="1"/>
  <c r="N65" i="1"/>
  <c r="P64" i="1"/>
  <c r="N64" i="1"/>
  <c r="P63" i="1"/>
  <c r="N63" i="1"/>
  <c r="P62" i="1"/>
  <c r="N62" i="1"/>
  <c r="P61" i="1"/>
  <c r="N61" i="1"/>
  <c r="P60" i="1"/>
  <c r="N60" i="1"/>
  <c r="P59" i="1"/>
  <c r="N59" i="1"/>
  <c r="P58" i="1"/>
  <c r="N58" i="1"/>
  <c r="P57" i="1"/>
  <c r="N57" i="1"/>
  <c r="P56" i="1"/>
  <c r="N56" i="1"/>
  <c r="P55" i="1"/>
  <c r="N55" i="1"/>
  <c r="P54" i="1"/>
  <c r="N54" i="1"/>
  <c r="P53" i="1"/>
  <c r="N53" i="1"/>
  <c r="P52" i="1"/>
  <c r="N52" i="1"/>
  <c r="P51" i="1"/>
  <c r="N51" i="1"/>
  <c r="P50" i="1"/>
  <c r="N50" i="1"/>
  <c r="P49" i="1"/>
  <c r="N49" i="1"/>
  <c r="P48" i="1"/>
  <c r="N48" i="1"/>
  <c r="P47" i="1"/>
  <c r="N47" i="1"/>
  <c r="P46" i="1"/>
  <c r="N46" i="1"/>
  <c r="P45" i="1"/>
  <c r="N45" i="1"/>
  <c r="P44" i="1"/>
  <c r="N44" i="1"/>
  <c r="P43" i="1"/>
  <c r="N43" i="1"/>
  <c r="P42" i="1"/>
  <c r="N42" i="1"/>
  <c r="P41" i="1"/>
  <c r="N41" i="1"/>
  <c r="P40" i="1"/>
  <c r="N40" i="1"/>
  <c r="P39" i="1"/>
  <c r="N39" i="1"/>
  <c r="P38" i="1"/>
  <c r="N38" i="1"/>
  <c r="P37" i="1"/>
  <c r="N37" i="1"/>
  <c r="P36" i="1"/>
  <c r="N36" i="1"/>
  <c r="P35" i="1"/>
  <c r="N35" i="1"/>
  <c r="P34" i="1"/>
  <c r="N34" i="1"/>
  <c r="P33" i="1"/>
  <c r="N33" i="1"/>
  <c r="P32" i="1"/>
  <c r="N32" i="1"/>
  <c r="P31" i="1"/>
  <c r="N31" i="1"/>
  <c r="P30" i="1"/>
  <c r="N30" i="1"/>
  <c r="P29" i="1"/>
  <c r="N29" i="1"/>
  <c r="P28" i="1"/>
  <c r="N28" i="1"/>
  <c r="P27" i="1"/>
  <c r="N27" i="1"/>
  <c r="P26" i="1"/>
  <c r="N26" i="1"/>
  <c r="P25" i="1"/>
  <c r="N25" i="1"/>
  <c r="P24" i="1"/>
  <c r="N24" i="1"/>
  <c r="P23" i="1"/>
  <c r="N23" i="1"/>
  <c r="P22" i="1"/>
  <c r="N22" i="1"/>
  <c r="P21" i="1"/>
  <c r="N21" i="1"/>
  <c r="P20" i="1"/>
  <c r="N20" i="1"/>
  <c r="P19" i="1"/>
  <c r="N19" i="1"/>
  <c r="P18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</author>
  </authors>
  <commentList>
    <comment ref="E5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CHEN:</t>
        </r>
        <r>
          <rPr>
            <sz val="9"/>
            <rFont val="宋体"/>
            <family val="3"/>
            <charset val="134"/>
          </rPr>
          <t xml:space="preserve">
0不管
1男
2女
</t>
        </r>
      </text>
    </comment>
  </commentList>
</comments>
</file>

<file path=xl/sharedStrings.xml><?xml version="1.0" encoding="utf-8"?>
<sst xmlns="http://schemas.openxmlformats.org/spreadsheetml/2006/main" count="953" uniqueCount="643">
  <si>
    <t>##var</t>
  </si>
  <si>
    <t>id</t>
  </si>
  <si>
    <t>name</t>
  </si>
  <si>
    <t>unitID</t>
  </si>
  <si>
    <t>avatar</t>
  </si>
  <si>
    <t>equip</t>
  </si>
  <si>
    <t>mount</t>
  </si>
  <si>
    <t>state</t>
  </si>
  <si>
    <t>level</t>
  </si>
  <si>
    <t>##type</t>
  </si>
  <si>
    <t>int</t>
  </si>
  <si>
    <t>string</t>
  </si>
  <si>
    <t>(list#sep=;),int#ref=Equip.TbEquipMain</t>
  </si>
  <si>
    <t>int#ref=Equip.TbMountMain</t>
  </si>
  <si>
    <t>##group</t>
  </si>
  <si>
    <t>##</t>
  </si>
  <si>
    <t>备注</t>
  </si>
  <si>
    <t>单位id</t>
  </si>
  <si>
    <t>模型id</t>
  </si>
  <si>
    <t>法宝id</t>
  </si>
  <si>
    <t>坐骑id</t>
  </si>
  <si>
    <t>境界</t>
  </si>
  <si>
    <t>等级</t>
  </si>
  <si>
    <t>男初始</t>
  </si>
  <si>
    <t>30001;31001</t>
  </si>
  <si>
    <t>女初始</t>
  </si>
  <si>
    <t>青铜III守卫</t>
  </si>
  <si>
    <t>青铜III精英</t>
  </si>
  <si>
    <t>青铜III队长</t>
  </si>
  <si>
    <t>青铜II守卫</t>
  </si>
  <si>
    <t>青铜II精英</t>
  </si>
  <si>
    <t>青铜II队长</t>
  </si>
  <si>
    <t>青铜I守卫</t>
  </si>
  <si>
    <t>青铜I精英</t>
  </si>
  <si>
    <t>青铜I队长</t>
  </si>
  <si>
    <t>白银III守卫</t>
  </si>
  <si>
    <t>白银III精英</t>
  </si>
  <si>
    <t>白银III队长</t>
  </si>
  <si>
    <t>白银II守卫</t>
  </si>
  <si>
    <t>白银II精英</t>
  </si>
  <si>
    <t>白银II队长</t>
  </si>
  <si>
    <t>白银I守卫</t>
  </si>
  <si>
    <t>白银I精英</t>
  </si>
  <si>
    <t>白银I队长</t>
  </si>
  <si>
    <t>黄金III守卫</t>
  </si>
  <si>
    <t>黄金III精英</t>
  </si>
  <si>
    <t>黄金III队长</t>
  </si>
  <si>
    <t>黄金II守卫</t>
  </si>
  <si>
    <t>黄金II精英</t>
  </si>
  <si>
    <t>黄金II队长</t>
  </si>
  <si>
    <t>黄金I守卫</t>
  </si>
  <si>
    <t>黄金I精英</t>
  </si>
  <si>
    <t>黄金I队长</t>
  </si>
  <si>
    <t>铂金III守卫</t>
  </si>
  <si>
    <t>铂金III精英</t>
  </si>
  <si>
    <t>铂金III队长</t>
  </si>
  <si>
    <t>铂金II守卫</t>
  </si>
  <si>
    <t>铂金II精英</t>
  </si>
  <si>
    <t>铂金II队长</t>
  </si>
  <si>
    <t>铂金I守卫</t>
  </si>
  <si>
    <t>铂金I精英</t>
  </si>
  <si>
    <t>铂金I队长</t>
  </si>
  <si>
    <t>钻石III守卫</t>
  </si>
  <si>
    <t>钻石III精英</t>
  </si>
  <si>
    <t>钻石III队长</t>
  </si>
  <si>
    <t>钻石II守卫</t>
  </si>
  <si>
    <t>钻石II精英</t>
  </si>
  <si>
    <t>钻石II队长</t>
  </si>
  <si>
    <t>钻石I守卫</t>
  </si>
  <si>
    <t>钻石I精英</t>
  </si>
  <si>
    <t>钻石I队长</t>
  </si>
  <si>
    <t>星耀III守卫</t>
  </si>
  <si>
    <t>星耀III精英</t>
  </si>
  <si>
    <t>星耀III队长</t>
  </si>
  <si>
    <t>星耀II守卫</t>
  </si>
  <si>
    <t>星耀II精英</t>
  </si>
  <si>
    <t>星耀II队长</t>
  </si>
  <si>
    <t>星耀I守卫</t>
  </si>
  <si>
    <t>星耀I精英</t>
  </si>
  <si>
    <t>星耀I队长</t>
  </si>
  <si>
    <t>王者1守卫</t>
  </si>
  <si>
    <t>王者1精英</t>
  </si>
  <si>
    <t>王者1队长</t>
  </si>
  <si>
    <t>王者2守卫</t>
  </si>
  <si>
    <t>王者2精英</t>
  </si>
  <si>
    <t>王者2队长</t>
  </si>
  <si>
    <t>王者3守卫</t>
  </si>
  <si>
    <t>王者3精英</t>
  </si>
  <si>
    <t>王者3队长</t>
  </si>
  <si>
    <t>王者4守卫</t>
  </si>
  <si>
    <t>王者4精英</t>
  </si>
  <si>
    <t>王者4队长</t>
  </si>
  <si>
    <t>王者5守卫</t>
  </si>
  <si>
    <t>王者5精英</t>
  </si>
  <si>
    <t>王者5队长</t>
  </si>
  <si>
    <t>王者6守卫</t>
  </si>
  <si>
    <t>王者6精英</t>
  </si>
  <si>
    <t>王者6队长</t>
  </si>
  <si>
    <t>王者7守卫</t>
  </si>
  <si>
    <t>王者7精英</t>
  </si>
  <si>
    <t>王者7队长</t>
  </si>
  <si>
    <t>王者8守卫</t>
  </si>
  <si>
    <t>王者8精英</t>
  </si>
  <si>
    <t>王者8队长</t>
  </si>
  <si>
    <t>王者9守卫</t>
  </si>
  <si>
    <t>王者9精英</t>
  </si>
  <si>
    <t>王者9队长</t>
  </si>
  <si>
    <t>rate</t>
  </si>
  <si>
    <t>baseAttrValue</t>
  </si>
  <si>
    <t>addAttrValue</t>
  </si>
  <si>
    <t>lvExp</t>
  </si>
  <si>
    <t>saveExp</t>
  </si>
  <si>
    <t>maxLevel</t>
  </si>
  <si>
    <t>practiceExp</t>
  </si>
  <si>
    <t>reward</t>
  </si>
  <si>
    <t>meritScore</t>
  </si>
  <si>
    <t>zhenfaExp</t>
  </si>
  <si>
    <t>MainSorce</t>
  </si>
  <si>
    <t>icon</t>
  </si>
  <si>
    <t>specialDisplay</t>
  </si>
  <si>
    <t>(list#sep=;),Property.PropertyData</t>
  </si>
  <si>
    <t>long</t>
  </si>
  <si>
    <t>(list#sep=;),Prop.PropObj</t>
  </si>
  <si>
    <t>s</t>
  </si>
  <si>
    <t>突破成功率</t>
  </si>
  <si>
    <t>基础属性</t>
  </si>
  <si>
    <t>升级属性</t>
  </si>
  <si>
    <t>升级经验</t>
  </si>
  <si>
    <t>保存经验上限</t>
  </si>
  <si>
    <t>最大等级</t>
  </si>
  <si>
    <t>修炼值</t>
  </si>
  <si>
    <t>奖励</t>
  </si>
  <si>
    <t>击杀该境界获得功勋值</t>
  </si>
  <si>
    <t>击杀该境界获得阵法经验</t>
  </si>
  <si>
    <t>击杀改境界获得积分值</t>
  </si>
  <si>
    <t>境界图片</t>
  </si>
  <si>
    <t>突破到该境界专属展示</t>
  </si>
  <si>
    <t>炼气&lt;color=#94bbff&gt;I&lt;/color&gt;</t>
  </si>
  <si>
    <t>1,1,0;4,1,0</t>
  </si>
  <si>
    <t>1,1,1;4,1,70</t>
  </si>
  <si>
    <t>炼气&lt;color=#94bbff&gt;II&lt;/color&gt;</t>
  </si>
  <si>
    <t>1,1,173;4,1,7100</t>
  </si>
  <si>
    <t>1,1,3;4,1,140</t>
  </si>
  <si>
    <t>炼气&lt;color=#94bbff&gt;III&lt;/color&gt;</t>
  </si>
  <si>
    <t>1,1,206;4,1,8600</t>
  </si>
  <si>
    <t>1,1,5;4,1,210</t>
  </si>
  <si>
    <t>筑基&lt;color=#94bbff&gt;I&lt;/color&gt;</t>
  </si>
  <si>
    <t>1,1,260;4,1,10800</t>
  </si>
  <si>
    <t>1,1,7;4,1,280</t>
  </si>
  <si>
    <t>筑基&lt;color=#94bbff&gt;II&lt;/color&gt;</t>
  </si>
  <si>
    <t>1,1,335;4,1,13800</t>
  </si>
  <si>
    <t>1,1,8;4,1,350</t>
  </si>
  <si>
    <t>筑基&lt;color=#94bbff&gt;III&lt;/color&gt;</t>
  </si>
  <si>
    <t>1,1,423;4,1,17500</t>
  </si>
  <si>
    <t>1,1,10;4,1,420</t>
  </si>
  <si>
    <t>金丹&lt;color=#94bbff&gt;I&lt;/color&gt;</t>
  </si>
  <si>
    <t>1,1,531;4,1,22000</t>
  </si>
  <si>
    <t>1,1,12;4,1,500</t>
  </si>
  <si>
    <t>金丹&lt;color=#94bbff&gt;II&lt;/color&gt;</t>
  </si>
  <si>
    <t>1,1,660;4,1,27300</t>
  </si>
  <si>
    <t>1,1,14;4,1,570</t>
  </si>
  <si>
    <t>金丹&lt;color=#94bbff&gt;III&lt;/color&gt;</t>
  </si>
  <si>
    <t>1,1,810;4,1,33400</t>
  </si>
  <si>
    <t>1,1,16;4,1,650</t>
  </si>
  <si>
    <t>元婴&lt;color=#94bbff&gt;I&lt;/color&gt;</t>
  </si>
  <si>
    <t>1,1,981;4,1,40300</t>
  </si>
  <si>
    <t>1,1,17;4,1,720</t>
  </si>
  <si>
    <t>1,20002,1;1,21002,1</t>
  </si>
  <si>
    <t>元婴&lt;color=#94bbff&gt;II&lt;/color&gt;</t>
  </si>
  <si>
    <t>1,1,1165;4,1,48000</t>
  </si>
  <si>
    <t>1,1,19;4,1,790</t>
  </si>
  <si>
    <t>元婴&lt;color=#94bbff&gt;III&lt;/color&gt;</t>
  </si>
  <si>
    <t>1,1,1370;4,1,56400</t>
  </si>
  <si>
    <t>1,1,21;4,1,870</t>
  </si>
  <si>
    <t>化神&lt;color=#94bbff&gt;I&lt;/color&gt;</t>
  </si>
  <si>
    <t>1,1,1596;4,1,65700</t>
  </si>
  <si>
    <t>1,1,23;4,1,940</t>
  </si>
  <si>
    <t>化神&lt;color=#94bbff&gt;II&lt;/color&gt;</t>
  </si>
  <si>
    <t>1,1,1843;4,1,75700</t>
  </si>
  <si>
    <t>1,1,25;4,1,1020</t>
  </si>
  <si>
    <t>化神&lt;color=#94bbff&gt;III&lt;/color&gt;</t>
  </si>
  <si>
    <t>1,1,2111;4,1,86600</t>
  </si>
  <si>
    <t>1,1,27;4,1,1090</t>
  </si>
  <si>
    <t>炼虚&lt;color=#94bbff&gt;I&lt;/color&gt;</t>
  </si>
  <si>
    <t>1,1,2400;4,1,98200</t>
  </si>
  <si>
    <t>1,1,29;4,1,1170</t>
  </si>
  <si>
    <t>1,20003,1;1,21003,1</t>
  </si>
  <si>
    <t>炼虚&lt;color=#94bbff&gt;II&lt;/color&gt;</t>
  </si>
  <si>
    <t>1,1,2710;4,1,110700</t>
  </si>
  <si>
    <t>1,1,31;4,1,1240</t>
  </si>
  <si>
    <t>炼虚&lt;color=#94bbff&gt;III&lt;/color&gt;</t>
  </si>
  <si>
    <t>1,1,3041;4,1,123900</t>
  </si>
  <si>
    <t>1,1,32;4,1,1320</t>
  </si>
  <si>
    <t>合体&lt;color=#94bbff&gt;I&lt;/color&gt;</t>
  </si>
  <si>
    <t>1,1,3385;4,1,138000</t>
  </si>
  <si>
    <t>1,1,34;4,1,1390</t>
  </si>
  <si>
    <t>合体&lt;color=#94bbff&gt;II&lt;/color&gt;</t>
  </si>
  <si>
    <t>1,1,3750;4,1,152800</t>
  </si>
  <si>
    <t>1,1,36;4,1,1470</t>
  </si>
  <si>
    <t>合体&lt;color=#94bbff&gt;III&lt;/color&gt;</t>
  </si>
  <si>
    <t>1,1,4136;4,1,168500</t>
  </si>
  <si>
    <t>1,1,38;4,1,1540</t>
  </si>
  <si>
    <t>大乘&lt;color=#94bbff&gt;I&lt;/color&gt;</t>
  </si>
  <si>
    <t>1,1,4543;4,1,184900</t>
  </si>
  <si>
    <t>1,1,40;4,1,1620</t>
  </si>
  <si>
    <t>大乘&lt;color=#94bbff&gt;II&lt;/color&gt;</t>
  </si>
  <si>
    <t>1,1,4971;4,1,202200</t>
  </si>
  <si>
    <t>1,1,42;4,1,1700</t>
  </si>
  <si>
    <t>大乘&lt;color=#94bbff&gt;III&lt;/color&gt;</t>
  </si>
  <si>
    <t>1,1,5420;4,1,220300</t>
  </si>
  <si>
    <t>1,1,44;4,1,1770</t>
  </si>
  <si>
    <t>渡劫&lt;color=#94bbff&gt;I&lt;/color&gt;</t>
  </si>
  <si>
    <t>1,1,5890;4,1,239200</t>
  </si>
  <si>
    <t>1,1,46;4,1,1850</t>
  </si>
  <si>
    <t>渡劫&lt;color=#94bbff&gt;II&lt;/color&gt;</t>
  </si>
  <si>
    <t>1,1,6381;4,1,258900</t>
  </si>
  <si>
    <t>1,1,48;4,1,1920</t>
  </si>
  <si>
    <t>渡劫&lt;color=#94bbff&gt;III&lt;/color&gt;</t>
  </si>
  <si>
    <t>1,1,6893;4,1,279400</t>
  </si>
  <si>
    <t>1,1,49;4,1,2000</t>
  </si>
  <si>
    <t>散仙&lt;color=#94bbff&gt;I&lt;/color&gt;</t>
  </si>
  <si>
    <t>1,1,7418;4,1,300700</t>
  </si>
  <si>
    <t>1,1,51;4,1,2070</t>
  </si>
  <si>
    <t>1,20004,1;1,21004,1</t>
  </si>
  <si>
    <t>散仙&lt;color=#94bbff&gt;II&lt;/color&gt;</t>
  </si>
  <si>
    <t>1,1,7964;4,1,322800</t>
  </si>
  <si>
    <t>1,1,53;4,1,2150</t>
  </si>
  <si>
    <t>散仙&lt;color=#94bbff&gt;III&lt;/color&gt;</t>
  </si>
  <si>
    <t>1,1,8532;4,1,345700</t>
  </si>
  <si>
    <t>1,1,55;4,1,2230</t>
  </si>
  <si>
    <t>地仙&lt;color=#94bbff&gt;I&lt;/color&gt;</t>
  </si>
  <si>
    <t>1,1,9121;4,1,369500</t>
  </si>
  <si>
    <t>1,1,57;4,1,2300</t>
  </si>
  <si>
    <t>地仙&lt;color=#94bbff&gt;II&lt;/color&gt;</t>
  </si>
  <si>
    <t>1,1,9731;4,1,394000</t>
  </si>
  <si>
    <t>1,1,59;4,1,2380</t>
  </si>
  <si>
    <t>地仙&lt;color=#94bbff&gt;III&lt;/color&gt;</t>
  </si>
  <si>
    <t>1,1,10362;4,1,419400</t>
  </si>
  <si>
    <t>1,1,61;4,1,2460</t>
  </si>
  <si>
    <t>天仙&lt;color=#94bbff&gt;I&lt;/color&gt;</t>
  </si>
  <si>
    <t>1,1,11014;4,1,445600</t>
  </si>
  <si>
    <t>1,1,63;4,1,2540</t>
  </si>
  <si>
    <t>天仙&lt;color=#94bbff&gt;II&lt;/color&gt;</t>
  </si>
  <si>
    <t>1,1,11687;4,1,472700</t>
  </si>
  <si>
    <t>1,1,65;4,1,2610</t>
  </si>
  <si>
    <t>天仙&lt;color=#94bbff&gt;III&lt;/color&gt;</t>
  </si>
  <si>
    <t>1,1,12381;4,1,500500</t>
  </si>
  <si>
    <t>1,1,67;4,1,2690</t>
  </si>
  <si>
    <t>真仙&lt;color=#94bbff&gt;I&lt;/color&gt;</t>
  </si>
  <si>
    <t>1,1,13096;4,1,529200</t>
  </si>
  <si>
    <t>1,1,69;4,1,2770</t>
  </si>
  <si>
    <t>真仙&lt;color=#94bbff&gt;II&lt;/color&gt;</t>
  </si>
  <si>
    <t>1,1,13833;4,1,558700</t>
  </si>
  <si>
    <t>1,1,71;4,1,2840</t>
  </si>
  <si>
    <t>真仙&lt;color=#94bbff&gt;III&lt;/color&gt;</t>
  </si>
  <si>
    <t>1,1,14591;4,1,589000</t>
  </si>
  <si>
    <t>1,1,73;4,1,2920</t>
  </si>
  <si>
    <t>玄仙&lt;color=#94bbff&gt;I&lt;/color&gt;</t>
  </si>
  <si>
    <t>1,1,15370;4,1,620200</t>
  </si>
  <si>
    <t>1,1,74;4,1,3000</t>
  </si>
  <si>
    <t>玄仙&lt;color=#94bbff&gt;II&lt;/color&gt;</t>
  </si>
  <si>
    <t>1,1,16162;4,1,652200</t>
  </si>
  <si>
    <t>1,1,76;4,1,3080</t>
  </si>
  <si>
    <t>玄仙&lt;color=#94bbff&gt;III&lt;/color&gt;</t>
  </si>
  <si>
    <t>1,1,16975;4,1,685000</t>
  </si>
  <si>
    <t>1,1,78;4,1,3150</t>
  </si>
  <si>
    <t>金仙&lt;color=#94bbff&gt;I&lt;/color&gt;</t>
  </si>
  <si>
    <t>1,1,17809;4,1,718600</t>
  </si>
  <si>
    <t>1,1,80;4,1,3230</t>
  </si>
  <si>
    <t>金仙&lt;color=#94bbff&gt;II&lt;/color&gt;</t>
  </si>
  <si>
    <t>1,1,18664;4,1,753100</t>
  </si>
  <si>
    <t>1,1,82;4,1,3310</t>
  </si>
  <si>
    <t>金仙&lt;color=#94bbff&gt;III&lt;/color&gt;</t>
  </si>
  <si>
    <t>1,1,19541;4,1,788400</t>
  </si>
  <si>
    <t>1,1,84;4,1,3390</t>
  </si>
  <si>
    <t>仙君&lt;color=#94bbff&gt;I&lt;/color&gt;</t>
  </si>
  <si>
    <t>1,1,20439;4,1,824600</t>
  </si>
  <si>
    <t>1,1,86;4,1,3470</t>
  </si>
  <si>
    <t>仙君&lt;color=#94bbff&gt;II&lt;/color&gt;</t>
  </si>
  <si>
    <t>1,1,21358;4,1,861600</t>
  </si>
  <si>
    <t>1,1,88;4,1,3540</t>
  </si>
  <si>
    <t>仙君&lt;color=#94bbff&gt;III&lt;/color&gt;</t>
  </si>
  <si>
    <t>1,1,22298;4,1,899400</t>
  </si>
  <si>
    <t>1,1,90;4,1,3620</t>
  </si>
  <si>
    <t>仙王&lt;color=#94bbff&gt;I&lt;/color&gt;</t>
  </si>
  <si>
    <t>1,1,23259;4,1,938000</t>
  </si>
  <si>
    <t>1,1,92;4,1,3700</t>
  </si>
  <si>
    <t>仙王&lt;color=#94bbff&gt;II&lt;/color&gt;</t>
  </si>
  <si>
    <t>1,1,24242;4,1,977500</t>
  </si>
  <si>
    <t>1,1,94;4,1,3780</t>
  </si>
  <si>
    <t>仙王&lt;color=#94bbff&gt;III&lt;/color&gt;</t>
  </si>
  <si>
    <t>1,1,25246;4,1,1017800</t>
  </si>
  <si>
    <t>1,1,96;4,1,3850</t>
  </si>
  <si>
    <t>仙皇&lt;color=#94bbff&gt;I&lt;/color&gt;</t>
  </si>
  <si>
    <t>1,1,26271;4,1,1058900</t>
  </si>
  <si>
    <t>1,1,98;4,1,3930</t>
  </si>
  <si>
    <t>仙皇&lt;color=#94bbff&gt;II&lt;/color&gt;</t>
  </si>
  <si>
    <t>1,1,27317;4,1,1100800</t>
  </si>
  <si>
    <t>1,1,100;4,1,4010</t>
  </si>
  <si>
    <t>仙皇&lt;color=#94bbff&gt;III&lt;/color&gt;</t>
  </si>
  <si>
    <t>1,1,28384;4,1,1143600</t>
  </si>
  <si>
    <t>1,1,102;4,1,4090</t>
  </si>
  <si>
    <t>仙帝&lt;color=#94bbff&gt;I&lt;/color&gt;</t>
  </si>
  <si>
    <t>1,1,29473;4,1,1187200</t>
  </si>
  <si>
    <t>1,1,104;4,1,4170</t>
  </si>
  <si>
    <t>仙帝&lt;color=#94bbff&gt;II&lt;/color&gt;</t>
  </si>
  <si>
    <t>1,1,30583;4,1,1231700</t>
  </si>
  <si>
    <t>1,1,106;4,1,4250</t>
  </si>
  <si>
    <t>仙帝&lt;color=#94bbff&gt;III&lt;/color&gt;</t>
  </si>
  <si>
    <t>1,1,31714;4,1,1277000</t>
  </si>
  <si>
    <t>1,1,108;4,1,4320</t>
  </si>
  <si>
    <t>仙神&lt;color=#94bbff&gt;I&lt;/color&gt;</t>
  </si>
  <si>
    <t>1,1,32866;4,1,1323100</t>
  </si>
  <si>
    <t>1,1,109;4,1,4400</t>
  </si>
  <si>
    <t>仙神&lt;color=#94bbff&gt;II&lt;/color&gt;</t>
  </si>
  <si>
    <t>1,1,34031;4,1,1370000</t>
  </si>
  <si>
    <t>1,1,111;4,1,4480</t>
  </si>
  <si>
    <t>仙神&lt;color=#94bbff&gt;III&lt;/color&gt;</t>
  </si>
  <si>
    <t>1,1,35218;4,1,1417800</t>
  </si>
  <si>
    <t>1,1,113;4,1,4560</t>
  </si>
  <si>
    <t>仙极&lt;color=#94bbff&gt;I&lt;/color&gt;</t>
  </si>
  <si>
    <t>1,1,36426;4,1,1466400</t>
  </si>
  <si>
    <t>1,1,115;4,1,4640</t>
  </si>
  <si>
    <t>仙极&lt;color=#94bbff&gt;II&lt;/color&gt;</t>
  </si>
  <si>
    <t>1,1,37655;4,1,1515900</t>
  </si>
  <si>
    <t>1,1,117;4,1,4710</t>
  </si>
  <si>
    <t>仙极&lt;color=#94bbff&gt;III&lt;/color&gt;</t>
  </si>
  <si>
    <t>1,1,38905;4,1,1566200</t>
  </si>
  <si>
    <t>1,1,119;4,1,4790</t>
  </si>
  <si>
    <t>仙灵&lt;color=#94bbff&gt;I&lt;/color&gt;</t>
  </si>
  <si>
    <t>1,1,40177;4,1,1617300</t>
  </si>
  <si>
    <t>1,1,121;4,1,4870</t>
  </si>
  <si>
    <t>仙灵&lt;color=#94bbff&gt;II&lt;/color&gt;</t>
  </si>
  <si>
    <t>1,1,41470;4,1,1669300</t>
  </si>
  <si>
    <t>1,1,123;4,1,4950</t>
  </si>
  <si>
    <t>仙灵&lt;color=#94bbff&gt;III&lt;/color&gt;</t>
  </si>
  <si>
    <t>1,1,42784;4,1,1722100</t>
  </si>
  <si>
    <t>1,1,125;4,1,5030</t>
  </si>
  <si>
    <t>仙祖&lt;color=#94bbff&gt;I&lt;/color&gt;</t>
  </si>
  <si>
    <t>1,1,44119;4,1,1775800</t>
  </si>
  <si>
    <t>1,1,127;4,1,5110</t>
  </si>
  <si>
    <t>仙祖&lt;color=#94bbff&gt;II&lt;/color&gt;</t>
  </si>
  <si>
    <t>1,1,45476;4,1,1830300</t>
  </si>
  <si>
    <t>1,1,129;4,1,5190</t>
  </si>
  <si>
    <t>仙祖&lt;color=#94bbff&gt;III&lt;/color&gt;</t>
  </si>
  <si>
    <t>1,1,46854;4,1,1885700</t>
  </si>
  <si>
    <t>1,1,131;4,1,5270</t>
  </si>
  <si>
    <t>仙尊&lt;color=#94bbff&gt;I&lt;/color&gt;</t>
  </si>
  <si>
    <t>1,1,48253;4,1,1941900</t>
  </si>
  <si>
    <t>1,1,133;4,1,5340</t>
  </si>
  <si>
    <t>仙尊&lt;color=#94bbff&gt;II&lt;/color&gt;</t>
  </si>
  <si>
    <t>1,1,49673;4,1,1998900</t>
  </si>
  <si>
    <t>1,1,135;4,1,5420</t>
  </si>
  <si>
    <t>仙尊&lt;color=#94bbff&gt;III&lt;/color&gt;</t>
  </si>
  <si>
    <t>1,1,51115;4,1,2056700</t>
  </si>
  <si>
    <t>1,1,137;4,1,5500</t>
  </si>
  <si>
    <t>半圣&lt;color=#94bbff&gt;I&lt;/color&gt;</t>
  </si>
  <si>
    <t>1,1,52578;4,1,2115400</t>
  </si>
  <si>
    <t>1,1,139;4,1,5580</t>
  </si>
  <si>
    <t>半圣&lt;color=#94bbff&gt;II&lt;/color&gt;</t>
  </si>
  <si>
    <t>1,1,54062;4,1,2174900</t>
  </si>
  <si>
    <t>1,1,141;4,1,5660</t>
  </si>
  <si>
    <t>半圣&lt;color=#94bbff&gt;III&lt;/color&gt;</t>
  </si>
  <si>
    <t>1,1,55567;4,1,2235300</t>
  </si>
  <si>
    <t>1,1,143;4,1,5740</t>
  </si>
  <si>
    <t>准圣&lt;color=#94bbff&gt;I&lt;/color&gt;</t>
  </si>
  <si>
    <t>1,1,57094;4,1,2296500</t>
  </si>
  <si>
    <t>1,1,145;4,1,5820</t>
  </si>
  <si>
    <t>准圣&lt;color=#94bbff&gt;II&lt;/color&gt;</t>
  </si>
  <si>
    <t>1,1,58642;4,1,2358600</t>
  </si>
  <si>
    <t>1,1,147;4,1,5900</t>
  </si>
  <si>
    <t>准圣&lt;color=#94bbff&gt;III&lt;/color&gt;</t>
  </si>
  <si>
    <t>1,1,60211;4,1,2421500</t>
  </si>
  <si>
    <t>1,1,149;4,1,5980</t>
  </si>
  <si>
    <t>圣人&lt;color=#94bbff&gt;I&lt;/color&gt;</t>
  </si>
  <si>
    <t>1,1,61802;4,1,2485300</t>
  </si>
  <si>
    <t>1,1,151;4,1,6060</t>
  </si>
  <si>
    <t>圣人&lt;color=#94bbff&gt;II&lt;/color&gt;</t>
  </si>
  <si>
    <t>1,1,63414;4,1,2549900</t>
  </si>
  <si>
    <t>1,1,153;4,1,6140</t>
  </si>
  <si>
    <t>圣人&lt;color=#94bbff&gt;III&lt;/color&gt;</t>
  </si>
  <si>
    <t>1,1,65047;4,1,2615400</t>
  </si>
  <si>
    <t>1,1,155;4,1,6210</t>
  </si>
  <si>
    <t>地圣&lt;color=#94bbff&gt;I&lt;/color&gt;</t>
  </si>
  <si>
    <t>1,1,66701;4,1,2681700</t>
  </si>
  <si>
    <t>1,1,157;4,1,6290</t>
  </si>
  <si>
    <t>地圣&lt;color=#94bbff&gt;II&lt;/color&gt;</t>
  </si>
  <si>
    <t>1,1,68377;4,1,2748800</t>
  </si>
  <si>
    <t>1,1,159;4,1,6380</t>
  </si>
  <si>
    <t>地圣&lt;color=#94bbff&gt;III&lt;/color&gt;</t>
  </si>
  <si>
    <t>1,1,70074;4,1,2816800</t>
  </si>
  <si>
    <t>1,1,161;4,1,6450</t>
  </si>
  <si>
    <t>天圣&lt;color=#94bbff&gt;I&lt;/color&gt;</t>
  </si>
  <si>
    <t>1,1,71792;4,1,2885600</t>
  </si>
  <si>
    <t>1,1,163;4,1,6530</t>
  </si>
  <si>
    <t>天圣&lt;color=#94bbff&gt;II&lt;/color&gt;</t>
  </si>
  <si>
    <t>1,1,73532;4,1,2955300</t>
  </si>
  <si>
    <t>1,1,165;4,1,6610</t>
  </si>
  <si>
    <t>天圣&lt;color=#94bbff&gt;III&lt;/color&gt;</t>
  </si>
  <si>
    <t>1,1,75293;4,1,3025800</t>
  </si>
  <si>
    <t>1,1,167;4,1,6690</t>
  </si>
  <si>
    <t>真圣&lt;color=#94bbff&gt;I&lt;/color&gt;</t>
  </si>
  <si>
    <t>1,1,77075;4,1,3097200</t>
  </si>
  <si>
    <t>1,1,169;4,1,6770</t>
  </si>
  <si>
    <t>真圣&lt;color=#94bbff&gt;II&lt;/color&gt;</t>
  </si>
  <si>
    <t>1,1,78879;4,1,3169400</t>
  </si>
  <si>
    <t>1,1,171;4,1,6850</t>
  </si>
  <si>
    <t>真圣&lt;color=#94bbff&gt;III&lt;/color&gt;</t>
  </si>
  <si>
    <t>1,1,80704;4,1,3242500</t>
  </si>
  <si>
    <t>1,1,173;4,1,6930</t>
  </si>
  <si>
    <t>圣君&lt;color=#94bbff&gt;I&lt;/color&gt;</t>
  </si>
  <si>
    <t>1,1,82550;4,1,3316400</t>
  </si>
  <si>
    <t>1,1,175;4,1,7010</t>
  </si>
  <si>
    <t>圣君&lt;color=#94bbff&gt;II&lt;/color&gt;</t>
  </si>
  <si>
    <t>1,1,84417;4,1,3391200</t>
  </si>
  <si>
    <t>1,1,177;4,1,7090</t>
  </si>
  <si>
    <t>圣君&lt;color=#94bbff&gt;III&lt;/color&gt;</t>
  </si>
  <si>
    <t>1,1,86306;4,1,3466800</t>
  </si>
  <si>
    <t>1,1,179;4,1,7170</t>
  </si>
  <si>
    <t>圣王&lt;color=#94bbff&gt;I&lt;/color&gt;</t>
  </si>
  <si>
    <t>1,1,88216;4,1,3543300</t>
  </si>
  <si>
    <t>1,1,181;4,1,7250</t>
  </si>
  <si>
    <t>圣王&lt;color=#94bbff&gt;II&lt;/color&gt;</t>
  </si>
  <si>
    <t>1,1,90147;4,1,3620600</t>
  </si>
  <si>
    <t>1,1,183;4,1,7330</t>
  </si>
  <si>
    <t>圣王&lt;color=#94bbff&gt;III&lt;/color&gt;</t>
  </si>
  <si>
    <t>1,1,92100;4,1,3698800</t>
  </si>
  <si>
    <t>1,1,185;4,1,7410</t>
  </si>
  <si>
    <t>圣主&lt;color=#94bbff&gt;I&lt;/color&gt;</t>
  </si>
  <si>
    <t>1,1,94074;4,1,3777800</t>
  </si>
  <si>
    <t>1,1,187;4,1,7490</t>
  </si>
  <si>
    <t>圣主&lt;color=#94bbff&gt;II&lt;/color&gt;</t>
  </si>
  <si>
    <t>1,1,96069;4,1,3857700</t>
  </si>
  <si>
    <t>1,1,189;4,1,7570</t>
  </si>
  <si>
    <t>圣主&lt;color=#94bbff&gt;III&lt;/color&gt;</t>
  </si>
  <si>
    <t>1,1,98086;4,1,3938400</t>
  </si>
  <si>
    <t>1,1,191;4,1,7650</t>
  </si>
  <si>
    <t>圣皇&lt;color=#94bbff&gt;I&lt;/color&gt;</t>
  </si>
  <si>
    <t>1,1,100124;4,1,4020000</t>
  </si>
  <si>
    <t>1,1,193;4,1,7730</t>
  </si>
  <si>
    <t>圣皇&lt;color=#94bbff&gt;II&lt;/color&gt;</t>
  </si>
  <si>
    <t>1,1,102183;4,1,4102500</t>
  </si>
  <si>
    <t>1,1,195;4,1,7810</t>
  </si>
  <si>
    <t>圣皇&lt;color=#94bbff&gt;III&lt;/color&gt;</t>
  </si>
  <si>
    <t>1,1,104264;4,1,4185800</t>
  </si>
  <si>
    <t>1,1,197;4,1,7890</t>
  </si>
  <si>
    <t>圣帝&lt;color=#94bbff&gt;I&lt;/color&gt;</t>
  </si>
  <si>
    <t>1,1,106366;4,1,4270000</t>
  </si>
  <si>
    <t>1,1,199;4,1,7970</t>
  </si>
  <si>
    <t>圣帝&lt;color=#94bbff&gt;II&lt;/color&gt;</t>
  </si>
  <si>
    <t>1,1,108489;4,1,4355000</t>
  </si>
  <si>
    <t>1,1,201;4,1,8050</t>
  </si>
  <si>
    <t>圣帝&lt;color=#94bbff&gt;III&lt;/color&gt;</t>
  </si>
  <si>
    <t>1,1,110634;4,1,4440900</t>
  </si>
  <si>
    <t>1,1,203;4,1,8130</t>
  </si>
  <si>
    <t>圣尊&lt;color=#94bbff&gt;I&lt;/color&gt;</t>
  </si>
  <si>
    <t>1,1,112800;4,1,4527600</t>
  </si>
  <si>
    <t>1,1,205;4,1,8210</t>
  </si>
  <si>
    <t>圣尊&lt;color=#94bbff&gt;II&lt;/color&gt;</t>
  </si>
  <si>
    <t>1,1,114987;4,1,4615200</t>
  </si>
  <si>
    <t>1,1,207;4,1,8290</t>
  </si>
  <si>
    <t>圣尊&lt;color=#94bbff&gt;III&lt;/color&gt;</t>
  </si>
  <si>
    <t>1,1,117196;4,1,4703600</t>
  </si>
  <si>
    <t>1,1,209;4,1,8370</t>
  </si>
  <si>
    <t>sort</t>
  </si>
  <si>
    <t>gender</t>
  </si>
  <si>
    <t>battleUnitID</t>
  </si>
  <si>
    <t>spineID</t>
  </si>
  <si>
    <t>time</t>
  </si>
  <si>
    <t>specialAttrValue</t>
  </si>
  <si>
    <t>icon_big</t>
  </si>
  <si>
    <t>icon_medium</t>
  </si>
  <si>
    <t>durationTimeUI</t>
  </si>
  <si>
    <t>int#ref=Battle.TbBattleUnitMain</t>
  </si>
  <si>
    <t>c</t>
  </si>
  <si>
    <t>编号</t>
  </si>
  <si>
    <t>性别</t>
  </si>
  <si>
    <t>spineid</t>
  </si>
  <si>
    <t>时效，秒</t>
  </si>
  <si>
    <t>附加属性</t>
  </si>
  <si>
    <t>大号ICON</t>
  </si>
  <si>
    <t>中号ICON</t>
  </si>
  <si>
    <t>持续时间UI皮肤</t>
  </si>
  <si>
    <t>男境界1</t>
  </si>
  <si>
    <t>100100</t>
  </si>
  <si>
    <t>Actor/Full/Img_Full_20001</t>
  </si>
  <si>
    <t>Actor/Medium/Img_Medium_603</t>
  </si>
  <si>
    <t>男境界2</t>
  </si>
  <si>
    <t>100101</t>
  </si>
  <si>
    <t>男境界3</t>
  </si>
  <si>
    <t>100102</t>
  </si>
  <si>
    <t>男境界4</t>
  </si>
  <si>
    <t>100103</t>
  </si>
  <si>
    <t>男境界5</t>
  </si>
  <si>
    <t>100104</t>
  </si>
  <si>
    <t>男境界6</t>
  </si>
  <si>
    <t>浩然仙宗（男-1天）</t>
  </si>
  <si>
    <t>男进度1-法宝5</t>
  </si>
  <si>
    <t>100200</t>
  </si>
  <si>
    <t>1,1,1000;4,1,40000;1,2,500;4,2,500</t>
  </si>
  <si>
    <t>男进度2-悟性值-3000</t>
  </si>
  <si>
    <t>100201</t>
  </si>
  <si>
    <t>1,1,1000;4,1,40000;1,2,1000;4,2,1000</t>
  </si>
  <si>
    <t>男进度3-功法6+法宝6+悟性6000</t>
  </si>
  <si>
    <t>100202</t>
  </si>
  <si>
    <t>男进度4-功法7+法宝7+悟性10000</t>
  </si>
  <si>
    <t>100203</t>
  </si>
  <si>
    <t>1,1,3000;4,1,120000;1,2,2000;4,2,2000</t>
  </si>
  <si>
    <t>男进度5-功法7+法宝7+悟性20000</t>
  </si>
  <si>
    <t>100204</t>
  </si>
  <si>
    <t>1,1,6000;4,1,240000;1,2,3000;4,2,3000</t>
  </si>
  <si>
    <t>男积分1-3</t>
  </si>
  <si>
    <t>100300</t>
  </si>
  <si>
    <t>男积分4-10</t>
  </si>
  <si>
    <t>100301</t>
  </si>
  <si>
    <t>男积分11-52</t>
  </si>
  <si>
    <t>男功勋1-3</t>
  </si>
  <si>
    <t>100400</t>
  </si>
  <si>
    <t>男功勋4-50</t>
  </si>
  <si>
    <t>100401</t>
  </si>
  <si>
    <t>男功勋-废弃</t>
  </si>
  <si>
    <t>男竞技1-3</t>
  </si>
  <si>
    <t>男竞技4-50</t>
  </si>
  <si>
    <t>女境界1</t>
  </si>
  <si>
    <t>110100</t>
  </si>
  <si>
    <t>女境界2</t>
  </si>
  <si>
    <t>女境界3</t>
  </si>
  <si>
    <t>女境界4</t>
  </si>
  <si>
    <t>女境界5</t>
  </si>
  <si>
    <t>女境界6</t>
  </si>
  <si>
    <t>浩然仙宗（女-1天）</t>
  </si>
  <si>
    <t>110111</t>
  </si>
  <si>
    <t>女进度1-法宝5</t>
  </si>
  <si>
    <t>女进度2-悟性值-3000</t>
  </si>
  <si>
    <t>女进度3-功法6+法宝6+悟性6000</t>
  </si>
  <si>
    <t>女进度4-功法7+法宝7+悟性10000</t>
  </si>
  <si>
    <t>女进度5-功法彩+法宝彩+悟性20000</t>
  </si>
  <si>
    <t>女积分1-3</t>
  </si>
  <si>
    <t>女积分4-10</t>
  </si>
  <si>
    <t>女积分11-52</t>
  </si>
  <si>
    <t>女功勋1-3</t>
  </si>
  <si>
    <t>女功勋4-50</t>
  </si>
  <si>
    <t>女功勋-废弃</t>
  </si>
  <si>
    <t>女竞技1-3</t>
  </si>
  <si>
    <t>女竞技4-50</t>
  </si>
  <si>
    <t>召唤BOSS1</t>
  </si>
  <si>
    <t>DT_SummonBoss</t>
  </si>
  <si>
    <t>召唤BOSS2</t>
  </si>
  <si>
    <t>召唤BOSS3</t>
  </si>
  <si>
    <t>召唤BOSS4</t>
  </si>
  <si>
    <t>碧波龙神</t>
  </si>
  <si>
    <t>DT_SystemBoss</t>
  </si>
  <si>
    <t>银甲虎王</t>
  </si>
  <si>
    <t>赤焰凤皇</t>
  </si>
  <si>
    <t>玄冥神龟</t>
  </si>
  <si>
    <t>世界boss</t>
  </si>
  <si>
    <t>DT_WorldBoss</t>
  </si>
  <si>
    <t>两仪针</t>
  </si>
  <si>
    <t>三才阵</t>
  </si>
  <si>
    <t>四象阵</t>
  </si>
  <si>
    <t>五行阵</t>
  </si>
  <si>
    <t>六合阵</t>
  </si>
  <si>
    <t>七星阵</t>
  </si>
  <si>
    <t>八卦阵</t>
  </si>
  <si>
    <t>九宫阵</t>
  </si>
  <si>
    <t>天罡阵</t>
  </si>
  <si>
    <t>玄武</t>
  </si>
  <si>
    <t>朱雀</t>
  </si>
  <si>
    <t>幼蛇</t>
  </si>
  <si>
    <t>灵蛇</t>
  </si>
  <si>
    <t>天蛇</t>
  </si>
  <si>
    <t>蛟影</t>
  </si>
  <si>
    <t>蛟灵</t>
  </si>
  <si>
    <t>蛟皇</t>
  </si>
  <si>
    <t>应龙</t>
  </si>
  <si>
    <t>金龙</t>
  </si>
  <si>
    <t>远程小怪-小花</t>
  </si>
  <si>
    <t>近战小怪-小狮子</t>
  </si>
  <si>
    <t>animation</t>
  </si>
  <si>
    <t>名称</t>
  </si>
  <si>
    <t>动画</t>
  </si>
  <si>
    <t>凡人王者</t>
  </si>
  <si>
    <t>仙人霸主</t>
  </si>
  <si>
    <t>maleAvatar</t>
  </si>
  <si>
    <t>femaleAvatar</t>
  </si>
  <si>
    <t>specialAvatar</t>
  </si>
  <si>
    <t>unlock</t>
  </si>
  <si>
    <t>男avatar</t>
  </si>
  <si>
    <t>女avatar</t>
  </si>
  <si>
    <t>是否特殊皮肤</t>
  </si>
  <si>
    <t>解锁条件</t>
  </si>
  <si>
    <t>魔彩仙灵</t>
  </si>
  <si>
    <t>2个法宝的品质达到橙色</t>
  </si>
  <si>
    <t>仙风道骨</t>
  </si>
  <si>
    <t>悟性值达到3000</t>
  </si>
  <si>
    <t>风华绝代</t>
  </si>
  <si>
    <t>悟性值达到6000</t>
  </si>
  <si>
    <t>逍遥游侠</t>
  </si>
  <si>
    <t>2个法宝的品质达到粉色/n悟性值达到10000</t>
  </si>
  <si>
    <t>焰武神隐</t>
  </si>
  <si>
    <t>赛季积分榜前3名</t>
  </si>
  <si>
    <t>幻梦仙踪</t>
  </si>
  <si>
    <t>赛季积分榜3-50名</t>
  </si>
  <si>
    <t>邪影狂澜</t>
  </si>
  <si>
    <t>赛季功勋榜前3名</t>
  </si>
  <si>
    <t>灵台明镜</t>
  </si>
  <si>
    <t>赛季功勋榜3-50名</t>
  </si>
  <si>
    <t>霸天狂仙</t>
  </si>
  <si>
    <t>赛季竞技前3名</t>
  </si>
  <si>
    <t>魔焰焚身</t>
  </si>
  <si>
    <t>赛季竞技3-50名</t>
  </si>
  <si>
    <t>浩然仙宗</t>
  </si>
  <si>
    <t>火花礼盒随机开出</t>
  </si>
  <si>
    <t>110114</t>
    <phoneticPr fontId="9" type="noConversion"/>
  </si>
  <si>
    <t>Hero/Title/Title_1001</t>
    <phoneticPr fontId="9" type="noConversion"/>
  </si>
  <si>
    <t>Hero/Title/Title_1003</t>
  </si>
  <si>
    <t>唯我独尊</t>
    <phoneticPr fontId="9" type="noConversion"/>
  </si>
  <si>
    <t>1,1,2000;4,1,80000;1,2,1000;4,2,1000</t>
    <phoneticPr fontId="9" type="noConversion"/>
  </si>
  <si>
    <t>1,1,3000;4,1,120000;1,2,1500;4,2,1500</t>
    <phoneticPr fontId="9" type="noConversion"/>
  </si>
  <si>
    <t>世界boss获得碎片合成</t>
    <phoneticPr fontId="9" type="noConversion"/>
  </si>
  <si>
    <t>Hero/Title/Title_1002</t>
    <phoneticPr fontId="9" type="noConversion"/>
  </si>
  <si>
    <t>火凰萌羽</t>
    <phoneticPr fontId="9" type="noConversion"/>
  </si>
  <si>
    <t>火凰萌羽（女-1天）</t>
    <phoneticPr fontId="9" type="noConversion"/>
  </si>
  <si>
    <t>火凰萌羽（男-1天）</t>
    <phoneticPr fontId="9" type="noConversion"/>
  </si>
  <si>
    <t>世界boss前10随机掉落</t>
    <phoneticPr fontId="9" type="noConversion"/>
  </si>
  <si>
    <t>凤舞九天（男）</t>
    <phoneticPr fontId="9" type="noConversion"/>
  </si>
  <si>
    <t>凤舞九天（女）</t>
    <phoneticPr fontId="9" type="noConversion"/>
  </si>
  <si>
    <t>凤舞九天</t>
    <phoneticPr fontId="9" type="noConversion"/>
  </si>
  <si>
    <t>1,1,2000;4,1,80000;1,3,500;4,3,1000</t>
    <phoneticPr fontId="9" type="noConversion"/>
  </si>
  <si>
    <t>男-蝴蝶</t>
    <phoneticPr fontId="9" type="noConversion"/>
  </si>
  <si>
    <t>女-蝴蝶</t>
    <phoneticPr fontId="9" type="noConversion"/>
  </si>
  <si>
    <t>110115</t>
    <phoneticPr fontId="9" type="noConversion"/>
  </si>
  <si>
    <t>1,3,5000;4,3,5000</t>
    <phoneticPr fontId="9" type="noConversion"/>
  </si>
  <si>
    <t>1,1,10000;4,1,400000;1,3,500;4,3,1000</t>
    <phoneticPr fontId="9" type="noConversion"/>
  </si>
  <si>
    <t>亲密度</t>
    <phoneticPr fontId="9" type="noConversion"/>
  </si>
  <si>
    <t>双方附加属性</t>
    <phoneticPr fontId="9" type="noConversion"/>
  </si>
  <si>
    <t>增加修炼速度</t>
    <phoneticPr fontId="9" type="noConversion"/>
  </si>
  <si>
    <t>29,2,</t>
  </si>
  <si>
    <t>29,2,</t>
    <phoneticPr fontId="9" type="noConversion"/>
  </si>
  <si>
    <t>intimacy</t>
    <phoneticPr fontId="9" type="noConversion"/>
  </si>
  <si>
    <t>帝皇威临（男）</t>
    <phoneticPr fontId="9" type="noConversion"/>
  </si>
  <si>
    <t>帝皇威临（女）</t>
    <phoneticPr fontId="9" type="noConversion"/>
  </si>
  <si>
    <t>1,1,10000;4,1,400000;1,3,1000;4,3,500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</si>
</sst>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indexed="8"/>
      <name val="等线"/>
      <family val="3"/>
      <charset val="134"/>
    </font>
    <font>
      <sz val="11"/>
      <color theme="1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0" borderId="0">
      <alignment vertical="center"/>
    </xf>
  </cellStyleXfs>
  <cellXfs count="28">
    <xf numFmtId="0" fontId="0" fillId="0" borderId="0" xfId="0">
      <alignment vertical="center"/>
    </xf>
    <xf numFmtId="0" fontId="1" fillId="2" borderId="1" xfId="1" applyBorder="1" applyAlignment="1"/>
    <xf numFmtId="0" fontId="0" fillId="0" borderId="0" xfId="0" applyAlignment="1">
      <alignment horizontal="center" vertical="center"/>
    </xf>
    <xf numFmtId="0" fontId="2" fillId="0" borderId="0" xfId="0" applyFont="1" applyAlignment="1"/>
    <xf numFmtId="0" fontId="2" fillId="0" borderId="0" xfId="0" applyFont="1">
      <alignment vertical="center"/>
    </xf>
    <xf numFmtId="0" fontId="0" fillId="0" borderId="0" xfId="0" applyAlignment="1"/>
    <xf numFmtId="0" fontId="3" fillId="3" borderId="1" xfId="2" applyBorder="1" applyAlignment="1"/>
    <xf numFmtId="49" fontId="2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3" applyNumberFormat="1" applyFont="1" applyAlignment="1">
      <alignment horizontal="center" vertical="center"/>
    </xf>
    <xf numFmtId="0" fontId="2" fillId="4" borderId="0" xfId="0" applyFont="1" applyFill="1" applyAlignment="1"/>
    <xf numFmtId="0" fontId="2" fillId="0" borderId="0" xfId="0" applyFont="1" applyAlignment="1">
      <alignment horizontal="right"/>
    </xf>
    <xf numFmtId="0" fontId="4" fillId="5" borderId="0" xfId="0" applyFont="1" applyFill="1" applyAlignment="1"/>
    <xf numFmtId="0" fontId="4" fillId="4" borderId="0" xfId="0" applyFont="1" applyFill="1" applyAlignment="1"/>
    <xf numFmtId="0" fontId="2" fillId="5" borderId="0" xfId="0" applyFont="1" applyFill="1" applyAlignment="1"/>
    <xf numFmtId="49" fontId="2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49" fontId="0" fillId="0" borderId="0" xfId="0" applyNumberForma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6" fillId="0" borderId="0" xfId="3" applyAlignment="1">
      <alignment horizontal="center" vertical="center"/>
    </xf>
    <xf numFmtId="49" fontId="6" fillId="0" borderId="0" xfId="3" applyNumberFormat="1" applyAlignment="1">
      <alignment horizontal="center" vertical="center"/>
    </xf>
    <xf numFmtId="49" fontId="10" fillId="0" borderId="0" xfId="0" applyNumberFormat="1" applyFont="1" applyAlignment="1">
      <alignment horizontal="right" vertical="center"/>
    </xf>
    <xf numFmtId="9" fontId="0" fillId="0" borderId="0" xfId="0" applyNumberFormat="1">
      <alignment vertical="center"/>
    </xf>
  </cellXfs>
  <cellStyles count="4">
    <cellStyle name="差" xfId="2" builtinId="27"/>
    <cellStyle name="常规" xfId="0" builtinId="0"/>
    <cellStyle name="常规 2" xfId="3" xr:uid="{00000000-0005-0000-0000-000031000000}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8"/>
  <sheetViews>
    <sheetView workbookViewId="0">
      <selection sqref="A1:I12"/>
    </sheetView>
  </sheetViews>
  <sheetFormatPr defaultColWidth="9" defaultRowHeight="13.9" x14ac:dyDescent="0.4"/>
  <cols>
    <col min="2" max="2" width="9" style="2"/>
    <col min="3" max="4" width="10" customWidth="1"/>
    <col min="5" max="5" width="13" customWidth="1"/>
    <col min="6" max="7" width="17.3984375" customWidth="1"/>
    <col min="8" max="8" width="17" style="17" customWidth="1"/>
    <col min="9" max="9" width="17" customWidth="1"/>
    <col min="10" max="10" width="15.59765625" style="17" customWidth="1"/>
    <col min="11" max="11" width="15.59765625" customWidth="1"/>
  </cols>
  <sheetData>
    <row r="1" spans="1:15" x14ac:dyDescent="0.4">
      <c r="A1" s="1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/>
    </row>
    <row r="2" spans="1:15" x14ac:dyDescent="0.4">
      <c r="A2" s="1" t="s">
        <v>0</v>
      </c>
      <c r="J2"/>
    </row>
    <row r="3" spans="1:15" x14ac:dyDescent="0.4">
      <c r="A3" s="6" t="s">
        <v>9</v>
      </c>
      <c r="B3" s="2" t="s">
        <v>10</v>
      </c>
      <c r="C3" t="s">
        <v>11</v>
      </c>
      <c r="D3" s="2" t="s">
        <v>10</v>
      </c>
      <c r="E3" s="2" t="s">
        <v>10</v>
      </c>
      <c r="F3" s="8" t="s">
        <v>12</v>
      </c>
      <c r="G3" s="8" t="s">
        <v>13</v>
      </c>
      <c r="H3" s="2" t="s">
        <v>10</v>
      </c>
      <c r="I3" s="2" t="s">
        <v>10</v>
      </c>
      <c r="J3"/>
    </row>
    <row r="4" spans="1:15" x14ac:dyDescent="0.4">
      <c r="A4" s="6" t="s">
        <v>14</v>
      </c>
      <c r="H4" s="7"/>
      <c r="I4" s="4"/>
      <c r="J4"/>
    </row>
    <row r="5" spans="1:15" x14ac:dyDescent="0.4">
      <c r="A5" s="1" t="s">
        <v>15</v>
      </c>
      <c r="B5" s="2" t="s">
        <v>1</v>
      </c>
      <c r="C5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7" t="s">
        <v>21</v>
      </c>
      <c r="I5" s="4" t="s">
        <v>22</v>
      </c>
      <c r="J5"/>
      <c r="K5" s="4"/>
    </row>
    <row r="6" spans="1:15" s="5" customFormat="1" x14ac:dyDescent="0.4">
      <c r="B6" s="2">
        <v>1</v>
      </c>
      <c r="C6" s="19" t="s">
        <v>23</v>
      </c>
      <c r="D6" s="2">
        <v>101</v>
      </c>
      <c r="E6" s="20">
        <v>20001</v>
      </c>
      <c r="F6" s="21" t="s">
        <v>24</v>
      </c>
      <c r="G6" s="21">
        <v>40001</v>
      </c>
      <c r="H6" s="22"/>
      <c r="I6" s="24"/>
      <c r="J6" s="25"/>
      <c r="N6" s="3"/>
      <c r="O6" s="3"/>
    </row>
    <row r="7" spans="1:15" s="5" customFormat="1" x14ac:dyDescent="0.4">
      <c r="B7" s="2">
        <v>2</v>
      </c>
      <c r="C7" s="19" t="s">
        <v>25</v>
      </c>
      <c r="D7" s="2">
        <v>201</v>
      </c>
      <c r="E7" s="20">
        <v>21001</v>
      </c>
      <c r="F7" s="21" t="s">
        <v>24</v>
      </c>
      <c r="G7" s="21">
        <v>40001</v>
      </c>
      <c r="H7" s="22"/>
      <c r="I7" s="24"/>
      <c r="J7" s="25"/>
      <c r="N7" s="3"/>
      <c r="O7" s="3"/>
    </row>
    <row r="8" spans="1:15" s="5" customFormat="1" x14ac:dyDescent="0.4">
      <c r="B8" s="2">
        <v>1001</v>
      </c>
      <c r="C8" s="23" t="s">
        <v>26</v>
      </c>
      <c r="D8" s="2">
        <v>5001</v>
      </c>
      <c r="E8" s="20">
        <v>20001</v>
      </c>
      <c r="F8" s="20"/>
      <c r="G8" s="21">
        <v>40001</v>
      </c>
      <c r="H8" s="22">
        <v>10</v>
      </c>
      <c r="I8" s="24">
        <v>9</v>
      </c>
      <c r="J8" s="25"/>
      <c r="N8" s="3"/>
      <c r="O8" s="3"/>
    </row>
    <row r="9" spans="1:15" s="5" customFormat="1" x14ac:dyDescent="0.4">
      <c r="B9" s="2">
        <v>1002</v>
      </c>
      <c r="C9" s="23" t="s">
        <v>27</v>
      </c>
      <c r="D9" s="2">
        <v>5002</v>
      </c>
      <c r="E9" s="20">
        <v>21001</v>
      </c>
      <c r="F9" s="20"/>
      <c r="G9" s="21">
        <v>40001</v>
      </c>
      <c r="H9" s="22">
        <v>10</v>
      </c>
      <c r="I9" s="24">
        <v>9</v>
      </c>
      <c r="J9" s="25"/>
      <c r="K9" s="24"/>
      <c r="N9" s="3"/>
      <c r="O9" s="3"/>
    </row>
    <row r="10" spans="1:15" s="5" customFormat="1" x14ac:dyDescent="0.4">
      <c r="B10" s="2">
        <v>1003</v>
      </c>
      <c r="C10" s="19" t="s">
        <v>28</v>
      </c>
      <c r="D10" s="2">
        <v>5003</v>
      </c>
      <c r="E10" s="20">
        <v>20001</v>
      </c>
      <c r="F10" s="20"/>
      <c r="G10" s="21">
        <v>40001</v>
      </c>
      <c r="H10" s="22">
        <v>11</v>
      </c>
      <c r="I10" s="24">
        <v>9</v>
      </c>
      <c r="J10" s="25"/>
      <c r="K10" s="24"/>
      <c r="N10" s="3"/>
      <c r="O10" s="3"/>
    </row>
    <row r="11" spans="1:15" s="5" customFormat="1" x14ac:dyDescent="0.4">
      <c r="B11" s="2">
        <v>1011</v>
      </c>
      <c r="C11" s="23" t="s">
        <v>29</v>
      </c>
      <c r="D11" s="2">
        <v>5011</v>
      </c>
      <c r="E11" s="2">
        <f>E8</f>
        <v>20001</v>
      </c>
      <c r="F11" s="20"/>
      <c r="G11" s="21">
        <v>40001</v>
      </c>
      <c r="H11" s="22">
        <v>11</v>
      </c>
      <c r="I11" s="24">
        <v>9</v>
      </c>
      <c r="J11" s="25"/>
      <c r="K11" s="24"/>
      <c r="N11" s="3"/>
      <c r="O11" s="3"/>
    </row>
    <row r="12" spans="1:15" s="5" customFormat="1" x14ac:dyDescent="0.4">
      <c r="B12" s="2">
        <v>1012</v>
      </c>
      <c r="C12" s="23" t="s">
        <v>30</v>
      </c>
      <c r="D12" s="2">
        <v>5012</v>
      </c>
      <c r="E12" s="2">
        <f t="shared" ref="E12:E75" si="0">E9</f>
        <v>21001</v>
      </c>
      <c r="F12" s="20"/>
      <c r="G12" s="21">
        <v>40001</v>
      </c>
      <c r="H12" s="22">
        <v>12</v>
      </c>
      <c r="I12" s="24">
        <v>9</v>
      </c>
      <c r="J12" s="25"/>
      <c r="K12" s="24"/>
      <c r="N12" s="3"/>
      <c r="O12" s="3"/>
    </row>
    <row r="13" spans="1:15" s="5" customFormat="1" x14ac:dyDescent="0.4">
      <c r="B13" s="2">
        <v>1013</v>
      </c>
      <c r="C13" s="23" t="s">
        <v>31</v>
      </c>
      <c r="D13" s="2">
        <v>5013</v>
      </c>
      <c r="E13" s="2">
        <f t="shared" si="0"/>
        <v>20001</v>
      </c>
      <c r="F13" s="20"/>
      <c r="G13" s="21">
        <v>40001</v>
      </c>
      <c r="H13" s="22">
        <v>12</v>
      </c>
      <c r="I13" s="24">
        <v>9</v>
      </c>
      <c r="J13" s="25"/>
      <c r="K13" s="24"/>
      <c r="N13" s="3"/>
      <c r="O13" s="3"/>
    </row>
    <row r="14" spans="1:15" s="5" customFormat="1" x14ac:dyDescent="0.4">
      <c r="B14" s="2">
        <v>1021</v>
      </c>
      <c r="C14" s="23" t="s">
        <v>32</v>
      </c>
      <c r="D14" s="2">
        <v>5021</v>
      </c>
      <c r="E14" s="2">
        <f t="shared" si="0"/>
        <v>20001</v>
      </c>
      <c r="F14" s="20"/>
      <c r="G14" s="21">
        <v>40001</v>
      </c>
      <c r="H14" s="22">
        <v>13</v>
      </c>
      <c r="I14" s="24">
        <v>9</v>
      </c>
      <c r="J14" s="25"/>
      <c r="K14" s="24"/>
      <c r="N14" s="3"/>
      <c r="O14" s="3"/>
    </row>
    <row r="15" spans="1:15" s="5" customFormat="1" x14ac:dyDescent="0.4">
      <c r="B15" s="2">
        <v>1022</v>
      </c>
      <c r="C15" s="23" t="s">
        <v>33</v>
      </c>
      <c r="D15" s="2">
        <v>5022</v>
      </c>
      <c r="E15" s="2">
        <f t="shared" si="0"/>
        <v>21001</v>
      </c>
      <c r="F15" s="20"/>
      <c r="G15" s="21">
        <v>40001</v>
      </c>
      <c r="H15" s="22">
        <v>13</v>
      </c>
      <c r="I15" s="24">
        <v>9</v>
      </c>
      <c r="J15" s="25"/>
      <c r="K15" s="24"/>
      <c r="N15" s="3"/>
      <c r="O15" s="3"/>
    </row>
    <row r="16" spans="1:15" s="5" customFormat="1" x14ac:dyDescent="0.4">
      <c r="B16" s="2">
        <v>1023</v>
      </c>
      <c r="C16" s="23" t="s">
        <v>34</v>
      </c>
      <c r="D16" s="2">
        <v>5023</v>
      </c>
      <c r="E16" s="2">
        <f t="shared" si="0"/>
        <v>20001</v>
      </c>
      <c r="F16" s="20"/>
      <c r="G16" s="21">
        <v>40001</v>
      </c>
      <c r="H16" s="22">
        <v>14</v>
      </c>
      <c r="I16" s="24">
        <v>9</v>
      </c>
      <c r="J16" s="25"/>
      <c r="K16" s="24"/>
      <c r="N16" s="3"/>
      <c r="O16" s="3"/>
    </row>
    <row r="17" spans="2:16" s="5" customFormat="1" x14ac:dyDescent="0.4">
      <c r="B17" s="2">
        <v>1031</v>
      </c>
      <c r="C17" s="23" t="s">
        <v>35</v>
      </c>
      <c r="D17" s="2">
        <v>5031</v>
      </c>
      <c r="E17" s="2">
        <f t="shared" si="0"/>
        <v>20001</v>
      </c>
      <c r="F17" s="20"/>
      <c r="G17" s="21">
        <v>40001</v>
      </c>
      <c r="H17" s="22">
        <v>15</v>
      </c>
      <c r="I17" s="24">
        <v>9</v>
      </c>
      <c r="J17" s="25"/>
      <c r="K17" s="24"/>
      <c r="N17" s="3"/>
      <c r="O17" s="3"/>
    </row>
    <row r="18" spans="2:16" s="5" customFormat="1" x14ac:dyDescent="0.4">
      <c r="B18" s="2">
        <v>1032</v>
      </c>
      <c r="C18" s="23" t="s">
        <v>36</v>
      </c>
      <c r="D18" s="2">
        <v>5032</v>
      </c>
      <c r="E18" s="2">
        <f t="shared" si="0"/>
        <v>21001</v>
      </c>
      <c r="F18" s="20"/>
      <c r="G18" s="21">
        <v>40001</v>
      </c>
      <c r="H18" s="22">
        <v>15</v>
      </c>
      <c r="I18" s="24">
        <v>9</v>
      </c>
      <c r="J18" s="25"/>
      <c r="K18" s="24"/>
      <c r="N18" s="3"/>
      <c r="O18" s="3"/>
    </row>
    <row r="19" spans="2:16" s="5" customFormat="1" x14ac:dyDescent="0.4">
      <c r="B19" s="2">
        <v>1033</v>
      </c>
      <c r="C19" s="23" t="s">
        <v>37</v>
      </c>
      <c r="D19" s="2">
        <v>5033</v>
      </c>
      <c r="E19" s="2">
        <f t="shared" si="0"/>
        <v>20001</v>
      </c>
      <c r="F19" s="20"/>
      <c r="G19" s="21">
        <v>40001</v>
      </c>
      <c r="H19" s="22">
        <v>16</v>
      </c>
      <c r="I19" s="24">
        <v>9</v>
      </c>
      <c r="J19" s="25"/>
      <c r="K19" s="24"/>
      <c r="N19" s="3"/>
      <c r="O19" s="3"/>
    </row>
    <row r="20" spans="2:16" x14ac:dyDescent="0.4">
      <c r="B20" s="2">
        <v>1041</v>
      </c>
      <c r="C20" t="s">
        <v>38</v>
      </c>
      <c r="D20" s="2">
        <v>5041</v>
      </c>
      <c r="E20" s="2">
        <f t="shared" si="0"/>
        <v>20001</v>
      </c>
      <c r="F20" s="20"/>
      <c r="G20" s="21">
        <v>40001</v>
      </c>
      <c r="H20" s="22">
        <v>17</v>
      </c>
      <c r="I20" s="24">
        <v>9</v>
      </c>
      <c r="J20" s="25"/>
      <c r="K20" s="24"/>
      <c r="N20" s="3"/>
      <c r="O20" s="3"/>
      <c r="P20" s="5"/>
    </row>
    <row r="21" spans="2:16" x14ac:dyDescent="0.4">
      <c r="B21" s="2">
        <v>1042</v>
      </c>
      <c r="C21" t="s">
        <v>39</v>
      </c>
      <c r="D21" s="2">
        <v>5042</v>
      </c>
      <c r="E21" s="2">
        <f t="shared" si="0"/>
        <v>21001</v>
      </c>
      <c r="F21" s="20"/>
      <c r="G21" s="21">
        <v>40001</v>
      </c>
      <c r="H21" s="22">
        <v>17</v>
      </c>
      <c r="I21" s="24">
        <v>9</v>
      </c>
      <c r="J21" s="25"/>
      <c r="K21" s="24"/>
      <c r="N21" s="3"/>
      <c r="O21" s="3"/>
      <c r="P21" s="5"/>
    </row>
    <row r="22" spans="2:16" x14ac:dyDescent="0.4">
      <c r="B22" s="2">
        <v>1043</v>
      </c>
      <c r="C22" t="s">
        <v>40</v>
      </c>
      <c r="D22" s="2">
        <v>5043</v>
      </c>
      <c r="E22" s="2">
        <f t="shared" si="0"/>
        <v>20001</v>
      </c>
      <c r="F22" s="20"/>
      <c r="G22" s="21">
        <v>40001</v>
      </c>
      <c r="H22" s="22">
        <v>18</v>
      </c>
      <c r="I22" s="24">
        <v>9</v>
      </c>
      <c r="J22" s="25"/>
      <c r="K22" s="24"/>
      <c r="N22" s="3"/>
      <c r="O22" s="3"/>
      <c r="P22" s="5"/>
    </row>
    <row r="23" spans="2:16" x14ac:dyDescent="0.4">
      <c r="B23" s="2">
        <v>1051</v>
      </c>
      <c r="C23" t="s">
        <v>41</v>
      </c>
      <c r="D23" s="2">
        <v>5051</v>
      </c>
      <c r="E23" s="2">
        <f t="shared" si="0"/>
        <v>20001</v>
      </c>
      <c r="F23" s="20"/>
      <c r="G23" s="21">
        <v>40001</v>
      </c>
      <c r="H23" s="22">
        <v>18</v>
      </c>
      <c r="I23" s="24">
        <v>9</v>
      </c>
      <c r="J23" s="25"/>
      <c r="K23" s="24"/>
      <c r="N23" s="3"/>
      <c r="O23" s="3"/>
      <c r="P23" s="5"/>
    </row>
    <row r="24" spans="2:16" x14ac:dyDescent="0.4">
      <c r="B24" s="2">
        <v>1052</v>
      </c>
      <c r="C24" t="s">
        <v>42</v>
      </c>
      <c r="D24" s="2">
        <v>5052</v>
      </c>
      <c r="E24" s="2">
        <f t="shared" si="0"/>
        <v>21001</v>
      </c>
      <c r="F24" s="20"/>
      <c r="G24" s="21">
        <v>40001</v>
      </c>
      <c r="H24" s="22">
        <v>19</v>
      </c>
      <c r="I24" s="24">
        <v>9</v>
      </c>
      <c r="J24" s="25"/>
      <c r="K24" s="24"/>
      <c r="N24" s="3"/>
      <c r="O24" s="3"/>
      <c r="P24" s="5"/>
    </row>
    <row r="25" spans="2:16" x14ac:dyDescent="0.4">
      <c r="B25" s="2">
        <v>1053</v>
      </c>
      <c r="C25" t="s">
        <v>43</v>
      </c>
      <c r="D25" s="2">
        <v>5053</v>
      </c>
      <c r="E25" s="2">
        <f t="shared" si="0"/>
        <v>20001</v>
      </c>
      <c r="F25" s="20"/>
      <c r="G25" s="21">
        <v>40001</v>
      </c>
      <c r="H25" s="22">
        <v>20</v>
      </c>
      <c r="I25" s="24">
        <v>9</v>
      </c>
      <c r="J25" s="25"/>
      <c r="K25" s="24"/>
      <c r="N25" s="3"/>
      <c r="O25" s="3"/>
      <c r="P25" s="5"/>
    </row>
    <row r="26" spans="2:16" x14ac:dyDescent="0.4">
      <c r="B26" s="2">
        <v>1061</v>
      </c>
      <c r="C26" t="s">
        <v>44</v>
      </c>
      <c r="D26" s="2">
        <v>5061</v>
      </c>
      <c r="E26" s="2">
        <f t="shared" si="0"/>
        <v>20001</v>
      </c>
      <c r="F26" s="20"/>
      <c r="G26" s="21">
        <v>40002</v>
      </c>
      <c r="H26" s="22">
        <v>21</v>
      </c>
      <c r="I26" s="24">
        <v>9</v>
      </c>
      <c r="J26" s="25"/>
      <c r="K26" s="24"/>
      <c r="N26" s="3"/>
      <c r="O26" s="3"/>
      <c r="P26" s="5"/>
    </row>
    <row r="27" spans="2:16" x14ac:dyDescent="0.4">
      <c r="B27" s="2">
        <v>1062</v>
      </c>
      <c r="C27" t="s">
        <v>45</v>
      </c>
      <c r="D27" s="2">
        <v>5062</v>
      </c>
      <c r="E27" s="2">
        <f t="shared" si="0"/>
        <v>21001</v>
      </c>
      <c r="F27" s="20"/>
      <c r="G27" s="21">
        <v>40002</v>
      </c>
      <c r="H27" s="22">
        <v>22</v>
      </c>
      <c r="I27" s="24">
        <v>9</v>
      </c>
      <c r="J27" s="25"/>
      <c r="K27" s="24"/>
      <c r="N27" s="3"/>
      <c r="O27" s="3"/>
      <c r="P27" s="5"/>
    </row>
    <row r="28" spans="2:16" x14ac:dyDescent="0.4">
      <c r="B28" s="2">
        <v>1063</v>
      </c>
      <c r="C28" t="s">
        <v>46</v>
      </c>
      <c r="D28" s="2">
        <v>5063</v>
      </c>
      <c r="E28" s="2">
        <f t="shared" si="0"/>
        <v>20001</v>
      </c>
      <c r="F28" s="20"/>
      <c r="G28" s="21">
        <v>40002</v>
      </c>
      <c r="H28" s="22">
        <v>23</v>
      </c>
      <c r="I28" s="24">
        <v>9</v>
      </c>
      <c r="J28" s="25"/>
      <c r="K28" s="24"/>
      <c r="N28" s="3"/>
      <c r="O28" s="3"/>
      <c r="P28" s="5"/>
    </row>
    <row r="29" spans="2:16" x14ac:dyDescent="0.4">
      <c r="B29" s="2">
        <v>1071</v>
      </c>
      <c r="C29" t="s">
        <v>47</v>
      </c>
      <c r="D29" s="2">
        <v>5071</v>
      </c>
      <c r="E29" s="2">
        <f t="shared" si="0"/>
        <v>20001</v>
      </c>
      <c r="F29" s="20"/>
      <c r="G29" s="21">
        <v>40002</v>
      </c>
      <c r="H29" s="22">
        <v>24</v>
      </c>
      <c r="I29" s="24">
        <v>9</v>
      </c>
      <c r="J29" s="25"/>
      <c r="K29" s="24"/>
      <c r="N29" s="3"/>
      <c r="O29" s="3"/>
      <c r="P29" s="5"/>
    </row>
    <row r="30" spans="2:16" x14ac:dyDescent="0.4">
      <c r="B30" s="2">
        <v>1072</v>
      </c>
      <c r="C30" t="s">
        <v>48</v>
      </c>
      <c r="D30" s="2">
        <v>5072</v>
      </c>
      <c r="E30" s="2">
        <f t="shared" si="0"/>
        <v>21001</v>
      </c>
      <c r="G30" s="21">
        <v>40002</v>
      </c>
      <c r="H30" s="22">
        <v>24</v>
      </c>
      <c r="I30" s="24">
        <v>9</v>
      </c>
    </row>
    <row r="31" spans="2:16" x14ac:dyDescent="0.4">
      <c r="B31" s="2">
        <v>1073</v>
      </c>
      <c r="C31" t="s">
        <v>49</v>
      </c>
      <c r="D31" s="2">
        <v>5073</v>
      </c>
      <c r="E31" s="2">
        <f t="shared" si="0"/>
        <v>20001</v>
      </c>
      <c r="G31" s="21">
        <v>40002</v>
      </c>
      <c r="H31" s="22">
        <v>25</v>
      </c>
      <c r="I31" s="24">
        <v>9</v>
      </c>
    </row>
    <row r="32" spans="2:16" x14ac:dyDescent="0.4">
      <c r="B32" s="2">
        <v>1081</v>
      </c>
      <c r="C32" t="s">
        <v>50</v>
      </c>
      <c r="D32" s="2">
        <v>5081</v>
      </c>
      <c r="E32" s="2">
        <f t="shared" si="0"/>
        <v>20001</v>
      </c>
      <c r="G32" s="21">
        <v>40002</v>
      </c>
      <c r="H32" s="22">
        <v>25</v>
      </c>
      <c r="I32" s="24">
        <v>9</v>
      </c>
    </row>
    <row r="33" spans="2:9" x14ac:dyDescent="0.4">
      <c r="B33" s="2">
        <v>1082</v>
      </c>
      <c r="C33" t="s">
        <v>51</v>
      </c>
      <c r="D33" s="2">
        <v>5082</v>
      </c>
      <c r="E33" s="2">
        <f t="shared" si="0"/>
        <v>21001</v>
      </c>
      <c r="G33" s="21">
        <v>40002</v>
      </c>
      <c r="H33" s="22">
        <v>26</v>
      </c>
      <c r="I33" s="24">
        <v>9</v>
      </c>
    </row>
    <row r="34" spans="2:9" x14ac:dyDescent="0.4">
      <c r="B34" s="2">
        <v>1083</v>
      </c>
      <c r="C34" t="s">
        <v>52</v>
      </c>
      <c r="D34" s="2">
        <v>5083</v>
      </c>
      <c r="E34" s="2">
        <f t="shared" si="0"/>
        <v>20001</v>
      </c>
      <c r="G34" s="21">
        <v>40002</v>
      </c>
      <c r="H34" s="22">
        <v>26</v>
      </c>
      <c r="I34" s="24">
        <v>9</v>
      </c>
    </row>
    <row r="35" spans="2:9" x14ac:dyDescent="0.4">
      <c r="B35" s="2">
        <v>1091</v>
      </c>
      <c r="C35" t="s">
        <v>53</v>
      </c>
      <c r="D35" s="2">
        <v>5091</v>
      </c>
      <c r="E35" s="2">
        <f t="shared" si="0"/>
        <v>20001</v>
      </c>
      <c r="G35" s="21">
        <v>40003</v>
      </c>
      <c r="H35" s="22">
        <v>27</v>
      </c>
      <c r="I35" s="24">
        <v>9</v>
      </c>
    </row>
    <row r="36" spans="2:9" x14ac:dyDescent="0.4">
      <c r="B36" s="2">
        <v>1092</v>
      </c>
      <c r="C36" t="s">
        <v>54</v>
      </c>
      <c r="D36" s="2">
        <v>5092</v>
      </c>
      <c r="E36" s="2">
        <f t="shared" si="0"/>
        <v>21001</v>
      </c>
      <c r="G36" s="21">
        <v>40003</v>
      </c>
      <c r="H36" s="22">
        <v>27</v>
      </c>
      <c r="I36" s="24">
        <v>9</v>
      </c>
    </row>
    <row r="37" spans="2:9" x14ac:dyDescent="0.4">
      <c r="B37" s="2">
        <v>1093</v>
      </c>
      <c r="C37" t="s">
        <v>55</v>
      </c>
      <c r="D37" s="2">
        <v>5093</v>
      </c>
      <c r="E37" s="2">
        <f t="shared" si="0"/>
        <v>20001</v>
      </c>
      <c r="G37" s="21">
        <v>40003</v>
      </c>
      <c r="H37" s="22">
        <v>28</v>
      </c>
      <c r="I37" s="24">
        <v>9</v>
      </c>
    </row>
    <row r="38" spans="2:9" x14ac:dyDescent="0.4">
      <c r="B38" s="2">
        <v>1101</v>
      </c>
      <c r="C38" t="s">
        <v>56</v>
      </c>
      <c r="D38" s="2">
        <v>5101</v>
      </c>
      <c r="E38" s="2">
        <f t="shared" si="0"/>
        <v>20001</v>
      </c>
      <c r="G38" s="21">
        <v>40003</v>
      </c>
      <c r="H38" s="22">
        <v>28</v>
      </c>
      <c r="I38" s="24">
        <v>9</v>
      </c>
    </row>
    <row r="39" spans="2:9" x14ac:dyDescent="0.4">
      <c r="B39" s="2">
        <v>1102</v>
      </c>
      <c r="C39" t="s">
        <v>57</v>
      </c>
      <c r="D39" s="2">
        <v>5102</v>
      </c>
      <c r="E39" s="2">
        <f t="shared" si="0"/>
        <v>21001</v>
      </c>
      <c r="G39" s="21">
        <v>40003</v>
      </c>
      <c r="H39" s="22">
        <v>29</v>
      </c>
      <c r="I39" s="24">
        <v>9</v>
      </c>
    </row>
    <row r="40" spans="2:9" x14ac:dyDescent="0.4">
      <c r="B40" s="2">
        <v>1103</v>
      </c>
      <c r="C40" t="s">
        <v>58</v>
      </c>
      <c r="D40" s="2">
        <v>5103</v>
      </c>
      <c r="E40" s="2">
        <f t="shared" si="0"/>
        <v>20001</v>
      </c>
      <c r="G40" s="21">
        <v>40003</v>
      </c>
      <c r="H40" s="22">
        <v>29</v>
      </c>
      <c r="I40" s="24">
        <v>9</v>
      </c>
    </row>
    <row r="41" spans="2:9" x14ac:dyDescent="0.4">
      <c r="B41" s="2">
        <v>1111</v>
      </c>
      <c r="C41" t="s">
        <v>59</v>
      </c>
      <c r="D41" s="2">
        <v>5111</v>
      </c>
      <c r="E41" s="2">
        <f t="shared" si="0"/>
        <v>20001</v>
      </c>
      <c r="G41" s="21">
        <v>40003</v>
      </c>
      <c r="H41" s="22">
        <v>30</v>
      </c>
      <c r="I41" s="24">
        <v>9</v>
      </c>
    </row>
    <row r="42" spans="2:9" x14ac:dyDescent="0.4">
      <c r="B42" s="2">
        <v>1112</v>
      </c>
      <c r="C42" t="s">
        <v>60</v>
      </c>
      <c r="D42" s="2">
        <v>5112</v>
      </c>
      <c r="E42" s="2">
        <f t="shared" si="0"/>
        <v>21001</v>
      </c>
      <c r="G42" s="21">
        <v>40003</v>
      </c>
      <c r="H42" s="22">
        <v>30</v>
      </c>
      <c r="I42" s="24">
        <v>9</v>
      </c>
    </row>
    <row r="43" spans="2:9" x14ac:dyDescent="0.4">
      <c r="B43" s="2">
        <v>1113</v>
      </c>
      <c r="C43" t="s">
        <v>61</v>
      </c>
      <c r="D43" s="2">
        <v>5113</v>
      </c>
      <c r="E43" s="2">
        <f t="shared" si="0"/>
        <v>20001</v>
      </c>
      <c r="G43" s="21">
        <v>40003</v>
      </c>
      <c r="H43" s="22">
        <v>31</v>
      </c>
      <c r="I43" s="24">
        <v>9</v>
      </c>
    </row>
    <row r="44" spans="2:9" x14ac:dyDescent="0.4">
      <c r="B44" s="2">
        <v>1121</v>
      </c>
      <c r="C44" t="s">
        <v>62</v>
      </c>
      <c r="D44" s="2">
        <v>5121</v>
      </c>
      <c r="E44" s="2">
        <f t="shared" si="0"/>
        <v>20001</v>
      </c>
      <c r="G44" s="21">
        <v>40004</v>
      </c>
      <c r="H44" s="22">
        <v>32</v>
      </c>
      <c r="I44" s="24">
        <v>9</v>
      </c>
    </row>
    <row r="45" spans="2:9" x14ac:dyDescent="0.4">
      <c r="B45" s="2">
        <v>1122</v>
      </c>
      <c r="C45" t="s">
        <v>63</v>
      </c>
      <c r="D45" s="2">
        <v>5122</v>
      </c>
      <c r="E45" s="2">
        <f t="shared" si="0"/>
        <v>21001</v>
      </c>
      <c r="G45" s="21">
        <v>40004</v>
      </c>
      <c r="H45" s="22">
        <v>33</v>
      </c>
      <c r="I45" s="24">
        <v>9</v>
      </c>
    </row>
    <row r="46" spans="2:9" x14ac:dyDescent="0.4">
      <c r="B46" s="2">
        <v>1123</v>
      </c>
      <c r="C46" t="s">
        <v>64</v>
      </c>
      <c r="D46" s="2">
        <v>5123</v>
      </c>
      <c r="E46" s="2">
        <f t="shared" si="0"/>
        <v>20001</v>
      </c>
      <c r="G46" s="21">
        <v>40004</v>
      </c>
      <c r="H46" s="22">
        <v>34</v>
      </c>
      <c r="I46" s="24">
        <v>9</v>
      </c>
    </row>
    <row r="47" spans="2:9" x14ac:dyDescent="0.4">
      <c r="B47" s="2">
        <v>1131</v>
      </c>
      <c r="C47" t="s">
        <v>65</v>
      </c>
      <c r="D47" s="2">
        <v>5131</v>
      </c>
      <c r="E47" s="2">
        <f t="shared" si="0"/>
        <v>20001</v>
      </c>
      <c r="G47" s="21">
        <v>40004</v>
      </c>
      <c r="H47" s="22">
        <v>35</v>
      </c>
      <c r="I47" s="24">
        <v>9</v>
      </c>
    </row>
    <row r="48" spans="2:9" x14ac:dyDescent="0.4">
      <c r="B48" s="2">
        <v>1132</v>
      </c>
      <c r="C48" t="s">
        <v>66</v>
      </c>
      <c r="D48" s="2">
        <v>5132</v>
      </c>
      <c r="E48" s="2">
        <f t="shared" si="0"/>
        <v>21001</v>
      </c>
      <c r="G48" s="21">
        <v>40004</v>
      </c>
      <c r="H48" s="22">
        <v>36</v>
      </c>
      <c r="I48" s="24">
        <v>9</v>
      </c>
    </row>
    <row r="49" spans="2:9" x14ac:dyDescent="0.4">
      <c r="B49" s="2">
        <v>1133</v>
      </c>
      <c r="C49" t="s">
        <v>67</v>
      </c>
      <c r="D49" s="2">
        <v>5133</v>
      </c>
      <c r="E49" s="2">
        <f t="shared" si="0"/>
        <v>20001</v>
      </c>
      <c r="G49" s="21">
        <v>40004</v>
      </c>
      <c r="H49" s="22">
        <v>37</v>
      </c>
      <c r="I49" s="24">
        <v>9</v>
      </c>
    </row>
    <row r="50" spans="2:9" x14ac:dyDescent="0.4">
      <c r="B50" s="2">
        <v>1141</v>
      </c>
      <c r="C50" t="s">
        <v>68</v>
      </c>
      <c r="D50" s="2">
        <v>5141</v>
      </c>
      <c r="E50" s="2">
        <f t="shared" si="0"/>
        <v>20001</v>
      </c>
      <c r="G50" s="21">
        <v>40004</v>
      </c>
      <c r="H50" s="22">
        <v>38</v>
      </c>
      <c r="I50" s="24">
        <v>9</v>
      </c>
    </row>
    <row r="51" spans="2:9" x14ac:dyDescent="0.4">
      <c r="B51" s="2">
        <v>1142</v>
      </c>
      <c r="C51" t="s">
        <v>69</v>
      </c>
      <c r="D51" s="2">
        <v>5142</v>
      </c>
      <c r="E51" s="2">
        <f t="shared" si="0"/>
        <v>21001</v>
      </c>
      <c r="G51" s="21">
        <v>40004</v>
      </c>
      <c r="H51" s="22">
        <v>39</v>
      </c>
      <c r="I51" s="24">
        <v>9</v>
      </c>
    </row>
    <row r="52" spans="2:9" x14ac:dyDescent="0.4">
      <c r="B52" s="2">
        <v>1143</v>
      </c>
      <c r="C52" t="s">
        <v>70</v>
      </c>
      <c r="D52" s="2">
        <v>5143</v>
      </c>
      <c r="E52" s="2">
        <f t="shared" si="0"/>
        <v>20001</v>
      </c>
      <c r="G52" s="21">
        <v>40004</v>
      </c>
      <c r="H52" s="22">
        <v>40</v>
      </c>
      <c r="I52" s="24">
        <v>9</v>
      </c>
    </row>
    <row r="53" spans="2:9" x14ac:dyDescent="0.4">
      <c r="B53" s="2">
        <v>1151</v>
      </c>
      <c r="C53" t="s">
        <v>71</v>
      </c>
      <c r="D53" s="2">
        <v>5151</v>
      </c>
      <c r="E53" s="2">
        <f t="shared" si="0"/>
        <v>20001</v>
      </c>
      <c r="G53" s="21">
        <v>40005</v>
      </c>
      <c r="H53" s="22">
        <v>41</v>
      </c>
      <c r="I53" s="24">
        <v>9</v>
      </c>
    </row>
    <row r="54" spans="2:9" x14ac:dyDescent="0.4">
      <c r="B54" s="2">
        <v>1152</v>
      </c>
      <c r="C54" t="s">
        <v>72</v>
      </c>
      <c r="D54" s="2">
        <v>5152</v>
      </c>
      <c r="E54" s="2">
        <f t="shared" si="0"/>
        <v>21001</v>
      </c>
      <c r="G54" s="21">
        <v>40005</v>
      </c>
      <c r="H54" s="22">
        <v>42</v>
      </c>
      <c r="I54" s="24">
        <v>9</v>
      </c>
    </row>
    <row r="55" spans="2:9" x14ac:dyDescent="0.4">
      <c r="B55" s="2">
        <v>1153</v>
      </c>
      <c r="C55" t="s">
        <v>73</v>
      </c>
      <c r="D55" s="2">
        <v>5153</v>
      </c>
      <c r="E55" s="2">
        <f t="shared" si="0"/>
        <v>20001</v>
      </c>
      <c r="G55" s="21">
        <v>40005</v>
      </c>
      <c r="H55" s="22">
        <v>43</v>
      </c>
      <c r="I55" s="24">
        <v>9</v>
      </c>
    </row>
    <row r="56" spans="2:9" x14ac:dyDescent="0.4">
      <c r="B56" s="2">
        <v>1161</v>
      </c>
      <c r="C56" t="s">
        <v>74</v>
      </c>
      <c r="D56" s="2">
        <v>5161</v>
      </c>
      <c r="E56" s="2">
        <f t="shared" si="0"/>
        <v>20001</v>
      </c>
      <c r="G56" s="21">
        <v>40005</v>
      </c>
      <c r="H56" s="22">
        <v>44</v>
      </c>
      <c r="I56" s="24">
        <v>9</v>
      </c>
    </row>
    <row r="57" spans="2:9" x14ac:dyDescent="0.4">
      <c r="B57" s="2">
        <v>1162</v>
      </c>
      <c r="C57" t="s">
        <v>75</v>
      </c>
      <c r="D57" s="2">
        <v>5162</v>
      </c>
      <c r="E57" s="2">
        <f t="shared" si="0"/>
        <v>21001</v>
      </c>
      <c r="G57" s="21">
        <v>40005</v>
      </c>
      <c r="H57" s="22">
        <v>45</v>
      </c>
      <c r="I57" s="24">
        <v>9</v>
      </c>
    </row>
    <row r="58" spans="2:9" x14ac:dyDescent="0.4">
      <c r="B58" s="2">
        <v>1163</v>
      </c>
      <c r="C58" t="s">
        <v>76</v>
      </c>
      <c r="D58" s="2">
        <v>5163</v>
      </c>
      <c r="E58" s="2">
        <f t="shared" si="0"/>
        <v>20001</v>
      </c>
      <c r="G58" s="21">
        <v>40005</v>
      </c>
      <c r="H58" s="22">
        <v>46</v>
      </c>
      <c r="I58" s="24">
        <v>9</v>
      </c>
    </row>
    <row r="59" spans="2:9" x14ac:dyDescent="0.4">
      <c r="B59" s="2">
        <v>1171</v>
      </c>
      <c r="C59" t="s">
        <v>77</v>
      </c>
      <c r="D59" s="2">
        <v>5171</v>
      </c>
      <c r="E59" s="2">
        <f t="shared" si="0"/>
        <v>20001</v>
      </c>
      <c r="G59" s="21">
        <v>40005</v>
      </c>
      <c r="H59" s="22">
        <v>47</v>
      </c>
      <c r="I59" s="24">
        <v>9</v>
      </c>
    </row>
    <row r="60" spans="2:9" x14ac:dyDescent="0.4">
      <c r="B60" s="2">
        <v>1172</v>
      </c>
      <c r="C60" t="s">
        <v>78</v>
      </c>
      <c r="D60" s="2">
        <v>5172</v>
      </c>
      <c r="E60" s="2">
        <f t="shared" si="0"/>
        <v>21001</v>
      </c>
      <c r="G60" s="21">
        <v>40005</v>
      </c>
      <c r="H60" s="22">
        <v>48</v>
      </c>
      <c r="I60" s="24">
        <v>9</v>
      </c>
    </row>
    <row r="61" spans="2:9" x14ac:dyDescent="0.4">
      <c r="B61" s="2">
        <v>1173</v>
      </c>
      <c r="C61" t="s">
        <v>79</v>
      </c>
      <c r="D61" s="2">
        <v>5173</v>
      </c>
      <c r="E61" s="2">
        <f t="shared" si="0"/>
        <v>20001</v>
      </c>
      <c r="G61" s="21">
        <v>40005</v>
      </c>
      <c r="H61" s="22">
        <v>49</v>
      </c>
      <c r="I61" s="24">
        <v>9</v>
      </c>
    </row>
    <row r="62" spans="2:9" x14ac:dyDescent="0.4">
      <c r="B62" s="2">
        <v>1181</v>
      </c>
      <c r="C62" t="s">
        <v>80</v>
      </c>
      <c r="D62" s="2">
        <v>5181</v>
      </c>
      <c r="E62" s="2">
        <f t="shared" si="0"/>
        <v>20001</v>
      </c>
      <c r="G62" s="21">
        <v>40005</v>
      </c>
      <c r="H62" s="22">
        <v>50</v>
      </c>
      <c r="I62" s="24">
        <v>9</v>
      </c>
    </row>
    <row r="63" spans="2:9" x14ac:dyDescent="0.4">
      <c r="B63" s="2">
        <v>1182</v>
      </c>
      <c r="C63" t="s">
        <v>81</v>
      </c>
      <c r="D63" s="2">
        <v>5182</v>
      </c>
      <c r="E63" s="2">
        <f t="shared" si="0"/>
        <v>21001</v>
      </c>
      <c r="G63" s="21">
        <v>40005</v>
      </c>
      <c r="H63" s="22">
        <v>51</v>
      </c>
      <c r="I63" s="24">
        <v>9</v>
      </c>
    </row>
    <row r="64" spans="2:9" x14ac:dyDescent="0.4">
      <c r="B64" s="2">
        <v>1183</v>
      </c>
      <c r="C64" t="s">
        <v>82</v>
      </c>
      <c r="D64" s="2">
        <v>5183</v>
      </c>
      <c r="E64" s="2">
        <f t="shared" si="0"/>
        <v>20001</v>
      </c>
      <c r="G64" s="21">
        <v>40005</v>
      </c>
      <c r="H64" s="22">
        <v>52</v>
      </c>
      <c r="I64" s="24">
        <v>9</v>
      </c>
    </row>
    <row r="65" spans="2:9" x14ac:dyDescent="0.4">
      <c r="B65" s="2">
        <v>1191</v>
      </c>
      <c r="C65" t="s">
        <v>83</v>
      </c>
      <c r="D65" s="2">
        <v>5191</v>
      </c>
      <c r="E65" s="2">
        <f t="shared" si="0"/>
        <v>20001</v>
      </c>
      <c r="G65" s="21">
        <v>40005</v>
      </c>
      <c r="H65" s="22">
        <v>53</v>
      </c>
      <c r="I65" s="24">
        <v>9</v>
      </c>
    </row>
    <row r="66" spans="2:9" x14ac:dyDescent="0.4">
      <c r="B66" s="2">
        <v>1192</v>
      </c>
      <c r="C66" t="s">
        <v>84</v>
      </c>
      <c r="D66" s="2">
        <v>5192</v>
      </c>
      <c r="E66" s="2">
        <f t="shared" si="0"/>
        <v>21001</v>
      </c>
      <c r="G66" s="21">
        <v>40005</v>
      </c>
      <c r="H66" s="22">
        <v>54</v>
      </c>
      <c r="I66" s="24">
        <v>9</v>
      </c>
    </row>
    <row r="67" spans="2:9" x14ac:dyDescent="0.4">
      <c r="B67" s="2">
        <v>1193</v>
      </c>
      <c r="C67" t="s">
        <v>85</v>
      </c>
      <c r="D67" s="2">
        <v>5193</v>
      </c>
      <c r="E67" s="2">
        <f t="shared" si="0"/>
        <v>20001</v>
      </c>
      <c r="G67" s="21">
        <v>40005</v>
      </c>
      <c r="H67" s="22">
        <v>55</v>
      </c>
      <c r="I67" s="24">
        <v>9</v>
      </c>
    </row>
    <row r="68" spans="2:9" x14ac:dyDescent="0.4">
      <c r="B68" s="2">
        <v>1201</v>
      </c>
      <c r="C68" t="s">
        <v>86</v>
      </c>
      <c r="D68" s="2">
        <v>5201</v>
      </c>
      <c r="E68" s="2">
        <f t="shared" si="0"/>
        <v>20001</v>
      </c>
      <c r="G68" s="21">
        <v>40005</v>
      </c>
      <c r="H68" s="22">
        <v>56</v>
      </c>
      <c r="I68" s="24">
        <v>9</v>
      </c>
    </row>
    <row r="69" spans="2:9" x14ac:dyDescent="0.4">
      <c r="B69" s="2">
        <v>1202</v>
      </c>
      <c r="C69" t="s">
        <v>87</v>
      </c>
      <c r="D69" s="2">
        <v>5202</v>
      </c>
      <c r="E69" s="2">
        <f t="shared" si="0"/>
        <v>21001</v>
      </c>
      <c r="G69" s="21">
        <v>40005</v>
      </c>
      <c r="H69" s="22">
        <v>57</v>
      </c>
      <c r="I69" s="24">
        <v>9</v>
      </c>
    </row>
    <row r="70" spans="2:9" x14ac:dyDescent="0.4">
      <c r="B70" s="2">
        <v>1203</v>
      </c>
      <c r="C70" t="s">
        <v>88</v>
      </c>
      <c r="D70" s="2">
        <v>5203</v>
      </c>
      <c r="E70" s="2">
        <f t="shared" si="0"/>
        <v>20001</v>
      </c>
      <c r="G70" s="21">
        <v>40005</v>
      </c>
      <c r="H70" s="22">
        <v>58</v>
      </c>
      <c r="I70" s="24">
        <v>9</v>
      </c>
    </row>
    <row r="71" spans="2:9" x14ac:dyDescent="0.4">
      <c r="B71" s="2">
        <v>1211</v>
      </c>
      <c r="C71" t="s">
        <v>89</v>
      </c>
      <c r="D71" s="2">
        <v>5211</v>
      </c>
      <c r="E71" s="2">
        <f t="shared" si="0"/>
        <v>20001</v>
      </c>
      <c r="G71" s="21">
        <v>40005</v>
      </c>
      <c r="H71" s="22">
        <v>59</v>
      </c>
      <c r="I71" s="24">
        <v>9</v>
      </c>
    </row>
    <row r="72" spans="2:9" x14ac:dyDescent="0.4">
      <c r="B72" s="2">
        <v>1212</v>
      </c>
      <c r="C72" t="s">
        <v>90</v>
      </c>
      <c r="D72" s="2">
        <v>5212</v>
      </c>
      <c r="E72" s="2">
        <f t="shared" si="0"/>
        <v>21001</v>
      </c>
      <c r="G72" s="21">
        <v>40005</v>
      </c>
      <c r="H72" s="22">
        <v>60</v>
      </c>
      <c r="I72" s="24">
        <v>9</v>
      </c>
    </row>
    <row r="73" spans="2:9" x14ac:dyDescent="0.4">
      <c r="B73" s="2">
        <v>1213</v>
      </c>
      <c r="C73" t="s">
        <v>91</v>
      </c>
      <c r="D73" s="2">
        <v>5213</v>
      </c>
      <c r="E73" s="2">
        <f t="shared" si="0"/>
        <v>20001</v>
      </c>
      <c r="G73" s="21">
        <v>40005</v>
      </c>
      <c r="H73" s="22">
        <v>61</v>
      </c>
      <c r="I73" s="24">
        <v>9</v>
      </c>
    </row>
    <row r="74" spans="2:9" x14ac:dyDescent="0.4">
      <c r="B74" s="2">
        <v>1221</v>
      </c>
      <c r="C74" t="s">
        <v>92</v>
      </c>
      <c r="D74" s="2">
        <v>5221</v>
      </c>
      <c r="E74" s="2">
        <f t="shared" si="0"/>
        <v>20001</v>
      </c>
      <c r="G74" s="21">
        <v>40005</v>
      </c>
      <c r="H74" s="22">
        <v>62</v>
      </c>
      <c r="I74" s="24">
        <v>9</v>
      </c>
    </row>
    <row r="75" spans="2:9" x14ac:dyDescent="0.4">
      <c r="B75" s="2">
        <v>1222</v>
      </c>
      <c r="C75" t="s">
        <v>93</v>
      </c>
      <c r="D75" s="2">
        <v>5222</v>
      </c>
      <c r="E75" s="2">
        <f t="shared" si="0"/>
        <v>21001</v>
      </c>
      <c r="G75" s="21">
        <v>40005</v>
      </c>
      <c r="H75" s="22">
        <v>63</v>
      </c>
      <c r="I75" s="24">
        <v>9</v>
      </c>
    </row>
    <row r="76" spans="2:9" x14ac:dyDescent="0.4">
      <c r="B76" s="2">
        <v>1223</v>
      </c>
      <c r="C76" t="s">
        <v>94</v>
      </c>
      <c r="D76" s="2">
        <v>5223</v>
      </c>
      <c r="E76" s="2">
        <f t="shared" ref="E76:E88" si="1">E73</f>
        <v>20001</v>
      </c>
      <c r="G76" s="21">
        <v>40005</v>
      </c>
      <c r="H76" s="22">
        <v>64</v>
      </c>
      <c r="I76" s="24">
        <v>9</v>
      </c>
    </row>
    <row r="77" spans="2:9" x14ac:dyDescent="0.4">
      <c r="B77" s="2">
        <v>1231</v>
      </c>
      <c r="C77" t="s">
        <v>95</v>
      </c>
      <c r="D77" s="2">
        <v>5231</v>
      </c>
      <c r="E77" s="2">
        <f t="shared" si="1"/>
        <v>20001</v>
      </c>
      <c r="G77" s="21">
        <v>40005</v>
      </c>
      <c r="H77" s="22">
        <v>65</v>
      </c>
      <c r="I77" s="24">
        <v>9</v>
      </c>
    </row>
    <row r="78" spans="2:9" x14ac:dyDescent="0.4">
      <c r="B78" s="2">
        <v>1232</v>
      </c>
      <c r="C78" t="s">
        <v>96</v>
      </c>
      <c r="D78" s="2">
        <v>5232</v>
      </c>
      <c r="E78" s="2">
        <f t="shared" si="1"/>
        <v>21001</v>
      </c>
      <c r="G78" s="21">
        <v>40005</v>
      </c>
      <c r="H78" s="22">
        <v>66</v>
      </c>
      <c r="I78" s="24">
        <v>9</v>
      </c>
    </row>
    <row r="79" spans="2:9" x14ac:dyDescent="0.4">
      <c r="B79" s="2">
        <v>1233</v>
      </c>
      <c r="C79" t="s">
        <v>97</v>
      </c>
      <c r="D79" s="2">
        <v>5233</v>
      </c>
      <c r="E79" s="2">
        <f t="shared" si="1"/>
        <v>20001</v>
      </c>
      <c r="G79" s="21">
        <v>40005</v>
      </c>
      <c r="H79" s="22">
        <v>67</v>
      </c>
      <c r="I79" s="24">
        <v>9</v>
      </c>
    </row>
    <row r="80" spans="2:9" x14ac:dyDescent="0.4">
      <c r="B80" s="2">
        <v>1241</v>
      </c>
      <c r="C80" t="s">
        <v>98</v>
      </c>
      <c r="D80" s="2">
        <v>5241</v>
      </c>
      <c r="E80" s="2">
        <f t="shared" si="1"/>
        <v>20001</v>
      </c>
      <c r="G80" s="21">
        <v>40005</v>
      </c>
      <c r="H80" s="22">
        <v>68</v>
      </c>
      <c r="I80" s="24">
        <v>9</v>
      </c>
    </row>
    <row r="81" spans="2:9" x14ac:dyDescent="0.4">
      <c r="B81" s="2">
        <v>1242</v>
      </c>
      <c r="C81" t="s">
        <v>99</v>
      </c>
      <c r="D81" s="2">
        <v>5242</v>
      </c>
      <c r="E81" s="2">
        <f t="shared" si="1"/>
        <v>21001</v>
      </c>
      <c r="G81" s="21">
        <v>40005</v>
      </c>
      <c r="H81" s="22">
        <v>69</v>
      </c>
      <c r="I81" s="24">
        <v>9</v>
      </c>
    </row>
    <row r="82" spans="2:9" x14ac:dyDescent="0.4">
      <c r="B82" s="2">
        <v>1243</v>
      </c>
      <c r="C82" t="s">
        <v>100</v>
      </c>
      <c r="D82" s="2">
        <v>5243</v>
      </c>
      <c r="E82" s="2">
        <f t="shared" si="1"/>
        <v>20001</v>
      </c>
      <c r="G82" s="21">
        <v>40005</v>
      </c>
      <c r="H82" s="22">
        <v>70</v>
      </c>
      <c r="I82" s="24">
        <v>9</v>
      </c>
    </row>
    <row r="83" spans="2:9" x14ac:dyDescent="0.4">
      <c r="B83" s="2">
        <v>1251</v>
      </c>
      <c r="C83" t="s">
        <v>101</v>
      </c>
      <c r="D83" s="2">
        <v>5251</v>
      </c>
      <c r="E83" s="2">
        <f t="shared" si="1"/>
        <v>20001</v>
      </c>
      <c r="G83" s="21">
        <v>40005</v>
      </c>
      <c r="H83" s="22">
        <v>71</v>
      </c>
      <c r="I83" s="24">
        <v>9</v>
      </c>
    </row>
    <row r="84" spans="2:9" x14ac:dyDescent="0.4">
      <c r="B84" s="2">
        <v>1252</v>
      </c>
      <c r="C84" t="s">
        <v>102</v>
      </c>
      <c r="D84" s="2">
        <v>5252</v>
      </c>
      <c r="E84" s="2">
        <f t="shared" si="1"/>
        <v>21001</v>
      </c>
      <c r="G84" s="21">
        <v>40005</v>
      </c>
      <c r="H84" s="22">
        <v>72</v>
      </c>
      <c r="I84" s="24">
        <v>9</v>
      </c>
    </row>
    <row r="85" spans="2:9" x14ac:dyDescent="0.4">
      <c r="B85" s="2">
        <v>1253</v>
      </c>
      <c r="C85" t="s">
        <v>103</v>
      </c>
      <c r="D85" s="2">
        <v>5253</v>
      </c>
      <c r="E85" s="2">
        <f t="shared" si="1"/>
        <v>20001</v>
      </c>
      <c r="G85" s="21">
        <v>40005</v>
      </c>
      <c r="H85" s="22">
        <v>73</v>
      </c>
      <c r="I85" s="24">
        <v>9</v>
      </c>
    </row>
    <row r="86" spans="2:9" x14ac:dyDescent="0.4">
      <c r="B86" s="2">
        <v>1261</v>
      </c>
      <c r="C86" t="s">
        <v>104</v>
      </c>
      <c r="D86" s="2">
        <v>5261</v>
      </c>
      <c r="E86" s="2">
        <f t="shared" si="1"/>
        <v>20001</v>
      </c>
      <c r="G86" s="21">
        <v>40005</v>
      </c>
      <c r="H86" s="22">
        <v>74</v>
      </c>
      <c r="I86" s="24">
        <v>9</v>
      </c>
    </row>
    <row r="87" spans="2:9" x14ac:dyDescent="0.4">
      <c r="B87" s="2">
        <v>1262</v>
      </c>
      <c r="C87" t="s">
        <v>105</v>
      </c>
      <c r="D87" s="2">
        <v>5262</v>
      </c>
      <c r="E87" s="2">
        <f t="shared" si="1"/>
        <v>21001</v>
      </c>
      <c r="G87" s="21">
        <v>40005</v>
      </c>
      <c r="H87" s="22">
        <v>75</v>
      </c>
      <c r="I87" s="24">
        <v>9</v>
      </c>
    </row>
    <row r="88" spans="2:9" x14ac:dyDescent="0.4">
      <c r="B88" s="2">
        <v>1263</v>
      </c>
      <c r="C88" t="s">
        <v>106</v>
      </c>
      <c r="D88" s="2">
        <v>5263</v>
      </c>
      <c r="E88" s="2">
        <f t="shared" si="1"/>
        <v>20001</v>
      </c>
      <c r="G88" s="21">
        <v>40005</v>
      </c>
      <c r="H88" s="22">
        <v>76</v>
      </c>
      <c r="I88" s="24">
        <v>9</v>
      </c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3"/>
  <sheetViews>
    <sheetView workbookViewId="0">
      <selection activeCell="E27" sqref="E27"/>
    </sheetView>
  </sheetViews>
  <sheetFormatPr defaultColWidth="8.796875" defaultRowHeight="13.9" x14ac:dyDescent="0.4"/>
  <cols>
    <col min="1" max="1" width="8.73046875"/>
    <col min="2" max="2" width="8.46484375" style="5" customWidth="1"/>
    <col min="3" max="3" width="14.73046875" style="5" customWidth="1"/>
    <col min="4" max="4" width="10.1328125" style="5" customWidth="1"/>
    <col min="5" max="5" width="27.796875" style="5" customWidth="1"/>
    <col min="6" max="6" width="19.3984375" style="5" customWidth="1"/>
    <col min="7" max="8" width="12.1328125" style="5" customWidth="1"/>
    <col min="9" max="10" width="8.796875" style="5"/>
    <col min="11" max="11" width="18.1328125" style="5" customWidth="1"/>
    <col min="12" max="14" width="13.46484375" style="5" customWidth="1"/>
    <col min="15" max="16384" width="8.796875" style="5"/>
  </cols>
  <sheetData>
    <row r="1" spans="1:16" x14ac:dyDescent="0.4">
      <c r="A1" s="1" t="s">
        <v>0</v>
      </c>
      <c r="B1" s="2" t="s">
        <v>1</v>
      </c>
      <c r="C1" s="5" t="s">
        <v>2</v>
      </c>
      <c r="D1" s="3" t="s">
        <v>107</v>
      </c>
      <c r="E1" t="s">
        <v>108</v>
      </c>
      <c r="F1" t="s">
        <v>109</v>
      </c>
      <c r="G1" s="3" t="s">
        <v>110</v>
      </c>
      <c r="H1" s="3" t="s">
        <v>111</v>
      </c>
      <c r="I1" s="3" t="s">
        <v>112</v>
      </c>
      <c r="J1" s="3" t="s">
        <v>113</v>
      </c>
      <c r="K1" s="5" t="s">
        <v>114</v>
      </c>
      <c r="L1" s="3" t="s">
        <v>115</v>
      </c>
      <c r="M1" s="3" t="s">
        <v>116</v>
      </c>
      <c r="N1" s="4" t="s">
        <v>117</v>
      </c>
      <c r="O1" t="s">
        <v>118</v>
      </c>
      <c r="P1" s="3" t="s">
        <v>119</v>
      </c>
    </row>
    <row r="2" spans="1:16" x14ac:dyDescent="0.4">
      <c r="A2" s="1" t="s">
        <v>0</v>
      </c>
    </row>
    <row r="3" spans="1:16" x14ac:dyDescent="0.4">
      <c r="A3" s="6" t="s">
        <v>9</v>
      </c>
      <c r="B3" s="5" t="s">
        <v>10</v>
      </c>
      <c r="C3" s="5" t="s">
        <v>11</v>
      </c>
      <c r="D3" s="5" t="s">
        <v>10</v>
      </c>
      <c r="E3" t="s">
        <v>120</v>
      </c>
      <c r="F3" t="s">
        <v>120</v>
      </c>
      <c r="G3" s="3" t="s">
        <v>121</v>
      </c>
      <c r="H3" s="3" t="s">
        <v>121</v>
      </c>
      <c r="I3" s="5" t="s">
        <v>10</v>
      </c>
      <c r="J3" s="5" t="s">
        <v>10</v>
      </c>
      <c r="K3" s="17" t="s">
        <v>122</v>
      </c>
      <c r="L3" s="5" t="s">
        <v>10</v>
      </c>
      <c r="M3" s="5" t="s">
        <v>10</v>
      </c>
      <c r="N3" s="5" t="s">
        <v>10</v>
      </c>
      <c r="O3" s="5" t="s">
        <v>11</v>
      </c>
      <c r="P3" s="5" t="s">
        <v>10</v>
      </c>
    </row>
    <row r="4" spans="1:16" x14ac:dyDescent="0.4">
      <c r="A4" s="6" t="s">
        <v>14</v>
      </c>
      <c r="D4" s="3"/>
      <c r="E4" s="3" t="s">
        <v>123</v>
      </c>
      <c r="F4" s="3" t="s">
        <v>123</v>
      </c>
      <c r="G4" s="3" t="s">
        <v>123</v>
      </c>
      <c r="H4" s="3" t="s">
        <v>123</v>
      </c>
      <c r="I4" s="3" t="s">
        <v>123</v>
      </c>
      <c r="J4" s="3" t="s">
        <v>123</v>
      </c>
      <c r="K4" s="3" t="s">
        <v>123</v>
      </c>
      <c r="L4" s="3" t="s">
        <v>123</v>
      </c>
      <c r="M4" s="3" t="s">
        <v>123</v>
      </c>
      <c r="N4" s="3" t="s">
        <v>123</v>
      </c>
      <c r="O4" s="3"/>
      <c r="P4" s="3"/>
    </row>
    <row r="5" spans="1:16" x14ac:dyDescent="0.4">
      <c r="A5" s="1" t="s">
        <v>15</v>
      </c>
      <c r="B5" s="5" t="s">
        <v>1</v>
      </c>
      <c r="C5" s="5" t="s">
        <v>21</v>
      </c>
      <c r="D5" s="5" t="s">
        <v>124</v>
      </c>
      <c r="E5" s="5" t="s">
        <v>125</v>
      </c>
      <c r="F5" s="5" t="s">
        <v>126</v>
      </c>
      <c r="G5" s="5" t="s">
        <v>127</v>
      </c>
      <c r="H5" s="3" t="s">
        <v>128</v>
      </c>
      <c r="I5" s="5" t="s">
        <v>129</v>
      </c>
      <c r="J5" s="5" t="s">
        <v>130</v>
      </c>
      <c r="K5" s="5" t="s">
        <v>131</v>
      </c>
      <c r="L5" s="3" t="s">
        <v>132</v>
      </c>
      <c r="M5" s="3" t="s">
        <v>133</v>
      </c>
      <c r="N5" s="3" t="s">
        <v>134</v>
      </c>
      <c r="O5" s="5" t="s">
        <v>135</v>
      </c>
      <c r="P5" s="5" t="s">
        <v>136</v>
      </c>
    </row>
    <row r="6" spans="1:16" x14ac:dyDescent="0.4">
      <c r="A6" s="5"/>
      <c r="B6" s="5">
        <v>1</v>
      </c>
      <c r="C6" s="3" t="s">
        <v>137</v>
      </c>
      <c r="D6" s="5">
        <v>10000</v>
      </c>
      <c r="E6" s="3" t="s">
        <v>138</v>
      </c>
      <c r="F6" s="5" t="s">
        <v>139</v>
      </c>
      <c r="G6" s="5">
        <v>11000</v>
      </c>
      <c r="H6" s="5">
        <v>2880000</v>
      </c>
      <c r="I6" s="5">
        <v>9</v>
      </c>
      <c r="J6" s="5">
        <v>100</v>
      </c>
      <c r="L6" s="5">
        <v>10</v>
      </c>
      <c r="M6" s="5">
        <v>200</v>
      </c>
      <c r="N6" s="5">
        <f>L6/2</f>
        <v>5</v>
      </c>
      <c r="O6" s="5">
        <v>0</v>
      </c>
    </row>
    <row r="7" spans="1:16" x14ac:dyDescent="0.4">
      <c r="B7" s="5">
        <v>2</v>
      </c>
      <c r="C7" s="3" t="s">
        <v>140</v>
      </c>
      <c r="D7" s="5">
        <v>10000</v>
      </c>
      <c r="E7" s="5" t="s">
        <v>141</v>
      </c>
      <c r="F7" s="5" t="s">
        <v>142</v>
      </c>
      <c r="G7" s="5">
        <v>31000</v>
      </c>
      <c r="H7" s="5">
        <v>3168000</v>
      </c>
      <c r="I7" s="5">
        <v>9</v>
      </c>
      <c r="J7" s="5">
        <v>110</v>
      </c>
      <c r="L7" s="5">
        <v>20</v>
      </c>
      <c r="M7" s="5">
        <v>200</v>
      </c>
      <c r="N7" s="5">
        <f t="shared" ref="N7:N70" si="0">L7/2</f>
        <v>10</v>
      </c>
      <c r="O7" s="5">
        <v>0</v>
      </c>
    </row>
    <row r="8" spans="1:16" x14ac:dyDescent="0.4">
      <c r="B8" s="5">
        <v>3</v>
      </c>
      <c r="C8" s="3" t="s">
        <v>143</v>
      </c>
      <c r="D8" s="5">
        <v>10000</v>
      </c>
      <c r="E8" s="5" t="s">
        <v>144</v>
      </c>
      <c r="F8" s="5" t="s">
        <v>145</v>
      </c>
      <c r="G8" s="5">
        <v>62000</v>
      </c>
      <c r="H8" s="5">
        <v>3744000</v>
      </c>
      <c r="I8" s="5">
        <v>9</v>
      </c>
      <c r="J8" s="5">
        <v>130</v>
      </c>
      <c r="L8" s="5">
        <v>30</v>
      </c>
      <c r="M8" s="5">
        <v>200</v>
      </c>
      <c r="N8" s="5">
        <f t="shared" si="0"/>
        <v>15</v>
      </c>
      <c r="O8" s="5">
        <v>0</v>
      </c>
    </row>
    <row r="9" spans="1:16" x14ac:dyDescent="0.4">
      <c r="B9" s="5">
        <v>4</v>
      </c>
      <c r="C9" s="5" t="s">
        <v>146</v>
      </c>
      <c r="D9" s="5">
        <v>10000</v>
      </c>
      <c r="E9" s="5" t="s">
        <v>147</v>
      </c>
      <c r="F9" s="5" t="s">
        <v>148</v>
      </c>
      <c r="G9" s="5">
        <v>112000</v>
      </c>
      <c r="H9" s="5">
        <v>5760000</v>
      </c>
      <c r="I9" s="5">
        <v>9</v>
      </c>
      <c r="J9" s="5">
        <v>160</v>
      </c>
      <c r="L9" s="5">
        <v>40</v>
      </c>
      <c r="M9" s="5">
        <f>M6+200</f>
        <v>400</v>
      </c>
      <c r="N9" s="5">
        <f t="shared" si="0"/>
        <v>20</v>
      </c>
      <c r="O9" s="5">
        <v>0</v>
      </c>
    </row>
    <row r="10" spans="1:16" x14ac:dyDescent="0.4">
      <c r="B10" s="5">
        <v>5</v>
      </c>
      <c r="C10" s="5" t="s">
        <v>149</v>
      </c>
      <c r="D10" s="5">
        <v>10000</v>
      </c>
      <c r="E10" s="5" t="s">
        <v>150</v>
      </c>
      <c r="F10" s="5" t="s">
        <v>151</v>
      </c>
      <c r="G10" s="5">
        <v>188000</v>
      </c>
      <c r="H10" s="5">
        <v>7200000</v>
      </c>
      <c r="I10" s="5">
        <v>9</v>
      </c>
      <c r="J10" s="5">
        <v>200</v>
      </c>
      <c r="K10" s="3"/>
      <c r="L10" s="5">
        <v>50</v>
      </c>
      <c r="M10" s="5">
        <f t="shared" ref="M10:M65" si="1">M7+200</f>
        <v>400</v>
      </c>
      <c r="N10" s="5">
        <f t="shared" si="0"/>
        <v>25</v>
      </c>
      <c r="O10" s="5">
        <v>0</v>
      </c>
    </row>
    <row r="11" spans="1:16" x14ac:dyDescent="0.4">
      <c r="B11" s="5">
        <v>6</v>
      </c>
      <c r="C11" s="5" t="s">
        <v>152</v>
      </c>
      <c r="D11" s="5">
        <v>10000</v>
      </c>
      <c r="E11" s="5" t="s">
        <v>153</v>
      </c>
      <c r="F11" s="5" t="s">
        <v>154</v>
      </c>
      <c r="G11" s="5">
        <v>297000</v>
      </c>
      <c r="H11" s="5">
        <v>9000000</v>
      </c>
      <c r="I11" s="5">
        <v>9</v>
      </c>
      <c r="J11" s="5">
        <v>250</v>
      </c>
      <c r="K11" s="3"/>
      <c r="L11" s="5">
        <v>60</v>
      </c>
      <c r="M11" s="5">
        <f t="shared" si="1"/>
        <v>400</v>
      </c>
      <c r="N11" s="5">
        <f t="shared" si="0"/>
        <v>30</v>
      </c>
      <c r="O11" s="5">
        <v>0</v>
      </c>
    </row>
    <row r="12" spans="1:16" x14ac:dyDescent="0.4">
      <c r="B12" s="5">
        <v>7</v>
      </c>
      <c r="C12" s="5" t="s">
        <v>155</v>
      </c>
      <c r="D12" s="5">
        <v>10000</v>
      </c>
      <c r="E12" s="5" t="s">
        <v>156</v>
      </c>
      <c r="F12" s="5" t="s">
        <v>157</v>
      </c>
      <c r="G12" s="5">
        <v>436000</v>
      </c>
      <c r="H12" s="5">
        <v>12960000</v>
      </c>
      <c r="I12" s="5">
        <v>9</v>
      </c>
      <c r="J12" s="5">
        <v>300</v>
      </c>
      <c r="K12" s="3"/>
      <c r="L12" s="5">
        <v>70</v>
      </c>
      <c r="M12" s="5">
        <f t="shared" si="1"/>
        <v>600</v>
      </c>
      <c r="N12" s="5">
        <f t="shared" si="0"/>
        <v>35</v>
      </c>
      <c r="O12" s="5">
        <v>0</v>
      </c>
    </row>
    <row r="13" spans="1:16" x14ac:dyDescent="0.4">
      <c r="B13" s="5">
        <v>8</v>
      </c>
      <c r="C13" s="5" t="s">
        <v>158</v>
      </c>
      <c r="D13" s="5">
        <v>10000</v>
      </c>
      <c r="E13" s="5" t="s">
        <v>159</v>
      </c>
      <c r="F13" s="5" t="s">
        <v>160</v>
      </c>
      <c r="G13" s="5">
        <v>606000</v>
      </c>
      <c r="H13" s="5">
        <v>15120000</v>
      </c>
      <c r="I13" s="5">
        <v>9</v>
      </c>
      <c r="J13" s="5">
        <v>350</v>
      </c>
      <c r="L13" s="5">
        <v>80</v>
      </c>
      <c r="M13" s="5">
        <f t="shared" si="1"/>
        <v>600</v>
      </c>
      <c r="N13" s="5">
        <f t="shared" si="0"/>
        <v>40</v>
      </c>
      <c r="O13" s="5">
        <v>0</v>
      </c>
    </row>
    <row r="14" spans="1:16" x14ac:dyDescent="0.4">
      <c r="B14" s="5">
        <v>9</v>
      </c>
      <c r="C14" s="5" t="s">
        <v>161</v>
      </c>
      <c r="D14" s="5">
        <v>10000</v>
      </c>
      <c r="E14" s="5" t="s">
        <v>162</v>
      </c>
      <c r="F14" s="5" t="s">
        <v>163</v>
      </c>
      <c r="G14" s="5">
        <v>807000</v>
      </c>
      <c r="H14" s="5">
        <v>17280000</v>
      </c>
      <c r="I14" s="5">
        <v>9</v>
      </c>
      <c r="J14" s="5">
        <v>400</v>
      </c>
      <c r="L14" s="5">
        <v>90</v>
      </c>
      <c r="M14" s="5">
        <f t="shared" si="1"/>
        <v>600</v>
      </c>
      <c r="N14" s="5">
        <f t="shared" si="0"/>
        <v>45</v>
      </c>
      <c r="O14" s="5">
        <v>0</v>
      </c>
    </row>
    <row r="15" spans="1:16" x14ac:dyDescent="0.4">
      <c r="B15" s="5">
        <v>10</v>
      </c>
      <c r="C15" s="5" t="s">
        <v>164</v>
      </c>
      <c r="D15" s="5">
        <v>10000</v>
      </c>
      <c r="E15" s="5" t="s">
        <v>165</v>
      </c>
      <c r="F15" s="5" t="s">
        <v>166</v>
      </c>
      <c r="G15" s="5">
        <v>1040000</v>
      </c>
      <c r="H15" s="5">
        <v>22680000</v>
      </c>
      <c r="I15" s="5">
        <v>9</v>
      </c>
      <c r="J15" s="5">
        <v>450</v>
      </c>
      <c r="K15" s="5" t="s">
        <v>167</v>
      </c>
      <c r="L15" s="5">
        <v>100</v>
      </c>
      <c r="M15" s="5">
        <f t="shared" si="1"/>
        <v>800</v>
      </c>
      <c r="N15" s="5">
        <f t="shared" si="0"/>
        <v>50</v>
      </c>
      <c r="O15" s="5">
        <v>0</v>
      </c>
      <c r="P15" s="5">
        <v>1</v>
      </c>
    </row>
    <row r="16" spans="1:16" x14ac:dyDescent="0.4">
      <c r="B16" s="5">
        <v>11</v>
      </c>
      <c r="C16" s="5" t="s">
        <v>168</v>
      </c>
      <c r="D16" s="5">
        <v>10000</v>
      </c>
      <c r="E16" s="5" t="s">
        <v>169</v>
      </c>
      <c r="F16" s="5" t="s">
        <v>170</v>
      </c>
      <c r="G16" s="5">
        <v>1300000</v>
      </c>
      <c r="H16" s="5">
        <v>25200000</v>
      </c>
      <c r="I16" s="5">
        <v>9</v>
      </c>
      <c r="J16" s="5">
        <v>500</v>
      </c>
      <c r="L16" s="5">
        <v>110</v>
      </c>
      <c r="M16" s="5">
        <f t="shared" si="1"/>
        <v>800</v>
      </c>
      <c r="N16" s="5">
        <f t="shared" si="0"/>
        <v>55</v>
      </c>
      <c r="O16" s="5">
        <v>0</v>
      </c>
    </row>
    <row r="17" spans="2:16" x14ac:dyDescent="0.4">
      <c r="B17" s="5">
        <v>12</v>
      </c>
      <c r="C17" s="5" t="s">
        <v>171</v>
      </c>
      <c r="D17" s="5">
        <v>9000</v>
      </c>
      <c r="E17" s="5" t="s">
        <v>172</v>
      </c>
      <c r="F17" s="5" t="s">
        <v>173</v>
      </c>
      <c r="G17" s="5">
        <v>1610000</v>
      </c>
      <c r="H17" s="5">
        <v>27720000</v>
      </c>
      <c r="I17" s="5">
        <v>9</v>
      </c>
      <c r="J17" s="5">
        <v>550</v>
      </c>
      <c r="L17" s="5">
        <v>120</v>
      </c>
      <c r="M17" s="5">
        <f t="shared" si="1"/>
        <v>800</v>
      </c>
      <c r="N17" s="5">
        <f t="shared" si="0"/>
        <v>60</v>
      </c>
      <c r="O17" s="5">
        <v>0</v>
      </c>
    </row>
    <row r="18" spans="2:16" x14ac:dyDescent="0.4">
      <c r="B18" s="5">
        <v>13</v>
      </c>
      <c r="C18" s="5" t="s">
        <v>174</v>
      </c>
      <c r="D18" s="5">
        <v>10000</v>
      </c>
      <c r="E18" s="5" t="s">
        <v>175</v>
      </c>
      <c r="F18" s="5" t="s">
        <v>176</v>
      </c>
      <c r="G18" s="5">
        <v>1980000</v>
      </c>
      <c r="H18" s="5">
        <v>30744000</v>
      </c>
      <c r="I18" s="5">
        <v>9</v>
      </c>
      <c r="J18" s="5">
        <v>610</v>
      </c>
      <c r="L18" s="5">
        <v>130</v>
      </c>
      <c r="M18" s="5">
        <f>M15+200</f>
        <v>1000</v>
      </c>
      <c r="N18" s="5">
        <f t="shared" si="0"/>
        <v>65</v>
      </c>
      <c r="O18" s="5">
        <v>0</v>
      </c>
      <c r="P18" s="5">
        <f>IF(P15=1,1,"")</f>
        <v>1</v>
      </c>
    </row>
    <row r="19" spans="2:16" x14ac:dyDescent="0.4">
      <c r="B19" s="5">
        <v>14</v>
      </c>
      <c r="C19" s="5" t="s">
        <v>177</v>
      </c>
      <c r="D19" s="5">
        <v>10000</v>
      </c>
      <c r="E19" s="5" t="s">
        <v>178</v>
      </c>
      <c r="F19" s="5" t="s">
        <v>179</v>
      </c>
      <c r="G19" s="5">
        <v>2430000</v>
      </c>
      <c r="H19" s="5">
        <v>34272000</v>
      </c>
      <c r="I19" s="5">
        <v>9</v>
      </c>
      <c r="J19" s="5">
        <v>680</v>
      </c>
      <c r="L19" s="5">
        <v>140</v>
      </c>
      <c r="M19" s="5">
        <f t="shared" si="1"/>
        <v>1000</v>
      </c>
      <c r="N19" s="5">
        <f t="shared" si="0"/>
        <v>70</v>
      </c>
      <c r="O19" s="5">
        <v>0</v>
      </c>
      <c r="P19" s="5" t="str">
        <f t="shared" ref="P19:P82" si="2">IF(P16=1,1,"")</f>
        <v/>
      </c>
    </row>
    <row r="20" spans="2:16" x14ac:dyDescent="0.4">
      <c r="B20" s="5">
        <v>15</v>
      </c>
      <c r="C20" s="5" t="s">
        <v>180</v>
      </c>
      <c r="D20" s="5">
        <v>9000</v>
      </c>
      <c r="E20" s="5" t="s">
        <v>181</v>
      </c>
      <c r="F20" s="5" t="s">
        <v>182</v>
      </c>
      <c r="G20" s="5">
        <v>2970000</v>
      </c>
      <c r="H20" s="5">
        <v>38304000</v>
      </c>
      <c r="I20" s="5">
        <v>9</v>
      </c>
      <c r="J20" s="5">
        <v>760</v>
      </c>
      <c r="L20" s="5">
        <v>150</v>
      </c>
      <c r="M20" s="5">
        <f t="shared" si="1"/>
        <v>1000</v>
      </c>
      <c r="N20" s="5">
        <f t="shared" si="0"/>
        <v>75</v>
      </c>
      <c r="O20" s="5">
        <v>0</v>
      </c>
      <c r="P20" s="5" t="str">
        <f t="shared" si="2"/>
        <v/>
      </c>
    </row>
    <row r="21" spans="2:16" x14ac:dyDescent="0.4">
      <c r="B21" s="5">
        <v>16</v>
      </c>
      <c r="C21" s="5" t="s">
        <v>183</v>
      </c>
      <c r="D21" s="5">
        <v>10000</v>
      </c>
      <c r="E21" s="5" t="s">
        <v>184</v>
      </c>
      <c r="F21" s="5" t="s">
        <v>185</v>
      </c>
      <c r="G21" s="5">
        <v>3580000</v>
      </c>
      <c r="H21" s="5">
        <v>42336000</v>
      </c>
      <c r="I21" s="5">
        <v>9</v>
      </c>
      <c r="J21" s="5">
        <v>840</v>
      </c>
      <c r="K21" s="3" t="s">
        <v>186</v>
      </c>
      <c r="L21" s="5">
        <v>160</v>
      </c>
      <c r="M21" s="5">
        <f t="shared" si="1"/>
        <v>1200</v>
      </c>
      <c r="N21" s="5">
        <f t="shared" si="0"/>
        <v>80</v>
      </c>
      <c r="O21" s="5">
        <v>0</v>
      </c>
      <c r="P21" s="5">
        <f t="shared" si="2"/>
        <v>1</v>
      </c>
    </row>
    <row r="22" spans="2:16" x14ac:dyDescent="0.4">
      <c r="B22" s="5">
        <v>17</v>
      </c>
      <c r="C22" s="5" t="s">
        <v>187</v>
      </c>
      <c r="D22" s="5">
        <v>10000</v>
      </c>
      <c r="E22" s="5" t="s">
        <v>188</v>
      </c>
      <c r="F22" s="5" t="s">
        <v>189</v>
      </c>
      <c r="G22" s="5">
        <v>4240000</v>
      </c>
      <c r="H22" s="5">
        <v>46368000</v>
      </c>
      <c r="I22" s="5">
        <v>9</v>
      </c>
      <c r="J22" s="5">
        <v>920</v>
      </c>
      <c r="L22" s="5">
        <v>170</v>
      </c>
      <c r="M22" s="5">
        <f t="shared" si="1"/>
        <v>1200</v>
      </c>
      <c r="N22" s="5">
        <f t="shared" si="0"/>
        <v>85</v>
      </c>
      <c r="O22" s="5">
        <v>0</v>
      </c>
      <c r="P22" s="5" t="str">
        <f t="shared" si="2"/>
        <v/>
      </c>
    </row>
    <row r="23" spans="2:16" x14ac:dyDescent="0.4">
      <c r="B23" s="5">
        <v>18</v>
      </c>
      <c r="C23" s="5" t="s">
        <v>190</v>
      </c>
      <c r="D23" s="5">
        <v>9000</v>
      </c>
      <c r="E23" s="5" t="s">
        <v>191</v>
      </c>
      <c r="F23" s="5" t="s">
        <v>192</v>
      </c>
      <c r="G23" s="5">
        <v>4960000</v>
      </c>
      <c r="H23" s="5">
        <v>50400000</v>
      </c>
      <c r="I23" s="5">
        <v>9</v>
      </c>
      <c r="J23" s="5">
        <v>1000</v>
      </c>
      <c r="L23" s="5">
        <v>180</v>
      </c>
      <c r="M23" s="5">
        <f t="shared" si="1"/>
        <v>1200</v>
      </c>
      <c r="N23" s="5">
        <f t="shared" si="0"/>
        <v>90</v>
      </c>
      <c r="O23" s="5">
        <v>0</v>
      </c>
      <c r="P23" s="5" t="str">
        <f t="shared" si="2"/>
        <v/>
      </c>
    </row>
    <row r="24" spans="2:16" x14ac:dyDescent="0.4">
      <c r="B24" s="5">
        <v>19</v>
      </c>
      <c r="C24" s="5" t="s">
        <v>193</v>
      </c>
      <c r="D24" s="5">
        <v>10000</v>
      </c>
      <c r="E24" s="5" t="s">
        <v>194</v>
      </c>
      <c r="F24" s="5" t="s">
        <v>195</v>
      </c>
      <c r="G24" s="5">
        <v>5750000</v>
      </c>
      <c r="H24" s="5">
        <v>54432000</v>
      </c>
      <c r="I24" s="5">
        <v>9</v>
      </c>
      <c r="J24" s="5">
        <v>1080</v>
      </c>
      <c r="L24" s="5">
        <v>190</v>
      </c>
      <c r="M24" s="5">
        <f t="shared" si="1"/>
        <v>1400</v>
      </c>
      <c r="N24" s="5">
        <f t="shared" si="0"/>
        <v>95</v>
      </c>
      <c r="O24" s="5">
        <v>0</v>
      </c>
      <c r="P24" s="5">
        <f t="shared" si="2"/>
        <v>1</v>
      </c>
    </row>
    <row r="25" spans="2:16" x14ac:dyDescent="0.4">
      <c r="B25" s="5">
        <v>20</v>
      </c>
      <c r="C25" s="5" t="s">
        <v>196</v>
      </c>
      <c r="D25" s="5">
        <v>10000</v>
      </c>
      <c r="E25" s="5" t="s">
        <v>197</v>
      </c>
      <c r="F25" s="5" t="s">
        <v>198</v>
      </c>
      <c r="G25" s="5">
        <v>6610000</v>
      </c>
      <c r="H25" s="5">
        <v>58464000</v>
      </c>
      <c r="I25" s="5">
        <v>9</v>
      </c>
      <c r="J25" s="5">
        <v>1160</v>
      </c>
      <c r="L25" s="5">
        <v>200</v>
      </c>
      <c r="M25" s="5">
        <f t="shared" si="1"/>
        <v>1400</v>
      </c>
      <c r="N25" s="5">
        <f t="shared" si="0"/>
        <v>100</v>
      </c>
      <c r="O25" s="5">
        <v>0</v>
      </c>
      <c r="P25" s="5" t="str">
        <f t="shared" si="2"/>
        <v/>
      </c>
    </row>
    <row r="26" spans="2:16" x14ac:dyDescent="0.4">
      <c r="B26" s="5">
        <v>21</v>
      </c>
      <c r="C26" s="5" t="s">
        <v>199</v>
      </c>
      <c r="D26" s="5">
        <v>9000</v>
      </c>
      <c r="E26" s="5" t="s">
        <v>200</v>
      </c>
      <c r="F26" s="5" t="s">
        <v>201</v>
      </c>
      <c r="G26" s="5">
        <v>7520000</v>
      </c>
      <c r="H26" s="5">
        <v>62496000</v>
      </c>
      <c r="I26" s="5">
        <v>9</v>
      </c>
      <c r="J26" s="5">
        <v>1240</v>
      </c>
      <c r="L26" s="5">
        <v>210</v>
      </c>
      <c r="M26" s="5">
        <f t="shared" si="1"/>
        <v>1400</v>
      </c>
      <c r="N26" s="5">
        <f t="shared" si="0"/>
        <v>105</v>
      </c>
      <c r="O26" s="5">
        <v>0</v>
      </c>
      <c r="P26" s="5" t="str">
        <f t="shared" si="2"/>
        <v/>
      </c>
    </row>
    <row r="27" spans="2:16" x14ac:dyDescent="0.4">
      <c r="B27" s="5">
        <v>22</v>
      </c>
      <c r="C27" s="5" t="s">
        <v>202</v>
      </c>
      <c r="D27" s="5">
        <v>10000</v>
      </c>
      <c r="E27" s="5" t="s">
        <v>203</v>
      </c>
      <c r="F27" s="5" t="s">
        <v>204</v>
      </c>
      <c r="G27" s="5">
        <v>8640000</v>
      </c>
      <c r="H27" s="5">
        <v>67536000</v>
      </c>
      <c r="I27" s="5">
        <v>9</v>
      </c>
      <c r="J27" s="5">
        <v>1340</v>
      </c>
      <c r="L27" s="5">
        <v>220</v>
      </c>
      <c r="M27" s="5">
        <f t="shared" si="1"/>
        <v>1600</v>
      </c>
      <c r="N27" s="5">
        <f t="shared" si="0"/>
        <v>110</v>
      </c>
      <c r="O27" s="5">
        <v>0</v>
      </c>
      <c r="P27" s="5">
        <f t="shared" si="2"/>
        <v>1</v>
      </c>
    </row>
    <row r="28" spans="2:16" x14ac:dyDescent="0.4">
      <c r="B28" s="5">
        <v>23</v>
      </c>
      <c r="C28" s="5" t="s">
        <v>205</v>
      </c>
      <c r="D28" s="5">
        <v>10000</v>
      </c>
      <c r="E28" s="5" t="s">
        <v>206</v>
      </c>
      <c r="F28" s="5" t="s">
        <v>207</v>
      </c>
      <c r="G28" s="5">
        <v>9840000</v>
      </c>
      <c r="H28" s="5">
        <v>72576000</v>
      </c>
      <c r="I28" s="5">
        <v>9</v>
      </c>
      <c r="J28" s="5">
        <v>1440</v>
      </c>
      <c r="L28" s="5">
        <v>230</v>
      </c>
      <c r="M28" s="5">
        <f t="shared" si="1"/>
        <v>1600</v>
      </c>
      <c r="N28" s="5">
        <f t="shared" si="0"/>
        <v>115</v>
      </c>
      <c r="O28" s="5">
        <v>0</v>
      </c>
      <c r="P28" s="5" t="str">
        <f t="shared" si="2"/>
        <v/>
      </c>
    </row>
    <row r="29" spans="2:16" x14ac:dyDescent="0.4">
      <c r="B29" s="5">
        <v>24</v>
      </c>
      <c r="C29" s="5" t="s">
        <v>208</v>
      </c>
      <c r="D29" s="5">
        <v>8500</v>
      </c>
      <c r="E29" s="5" t="s">
        <v>209</v>
      </c>
      <c r="F29" s="5" t="s">
        <v>210</v>
      </c>
      <c r="G29" s="5">
        <v>11120000</v>
      </c>
      <c r="H29" s="5">
        <v>77616000</v>
      </c>
      <c r="I29" s="5">
        <v>9</v>
      </c>
      <c r="J29" s="5">
        <v>1540</v>
      </c>
      <c r="L29" s="5">
        <v>240</v>
      </c>
      <c r="M29" s="5">
        <f t="shared" si="1"/>
        <v>1600</v>
      </c>
      <c r="N29" s="5">
        <f t="shared" si="0"/>
        <v>120</v>
      </c>
      <c r="O29" s="5">
        <v>0</v>
      </c>
      <c r="P29" s="5" t="str">
        <f t="shared" si="2"/>
        <v/>
      </c>
    </row>
    <row r="30" spans="2:16" x14ac:dyDescent="0.4">
      <c r="B30" s="5">
        <v>25</v>
      </c>
      <c r="C30" s="5" t="s">
        <v>211</v>
      </c>
      <c r="D30" s="5">
        <v>9000</v>
      </c>
      <c r="E30" s="5" t="s">
        <v>212</v>
      </c>
      <c r="F30" s="5" t="s">
        <v>213</v>
      </c>
      <c r="G30" s="5">
        <v>12490000</v>
      </c>
      <c r="H30" s="5">
        <v>82656000</v>
      </c>
      <c r="I30" s="5">
        <v>9</v>
      </c>
      <c r="J30" s="5">
        <v>1640</v>
      </c>
      <c r="L30" s="5">
        <v>250</v>
      </c>
      <c r="M30" s="5">
        <f t="shared" si="1"/>
        <v>1800</v>
      </c>
      <c r="N30" s="5">
        <f t="shared" si="0"/>
        <v>125</v>
      </c>
      <c r="O30" s="5">
        <v>0</v>
      </c>
      <c r="P30" s="5">
        <f t="shared" si="2"/>
        <v>1</v>
      </c>
    </row>
    <row r="31" spans="2:16" x14ac:dyDescent="0.4">
      <c r="B31" s="5">
        <v>26</v>
      </c>
      <c r="C31" s="5" t="s">
        <v>214</v>
      </c>
      <c r="D31" s="5">
        <v>8500</v>
      </c>
      <c r="E31" s="5" t="s">
        <v>215</v>
      </c>
      <c r="F31" s="5" t="s">
        <v>216</v>
      </c>
      <c r="G31" s="5">
        <v>13940000</v>
      </c>
      <c r="H31" s="5">
        <v>87696000</v>
      </c>
      <c r="I31" s="5">
        <v>9</v>
      </c>
      <c r="J31" s="5">
        <v>1740</v>
      </c>
      <c r="L31" s="5">
        <v>260</v>
      </c>
      <c r="M31" s="5">
        <f t="shared" si="1"/>
        <v>1800</v>
      </c>
      <c r="N31" s="5">
        <f t="shared" si="0"/>
        <v>130</v>
      </c>
      <c r="O31" s="5">
        <v>0</v>
      </c>
      <c r="P31" s="5" t="str">
        <f t="shared" si="2"/>
        <v/>
      </c>
    </row>
    <row r="32" spans="2:16" x14ac:dyDescent="0.4">
      <c r="B32" s="5">
        <v>27</v>
      </c>
      <c r="C32" s="5" t="s">
        <v>217</v>
      </c>
      <c r="D32" s="5">
        <v>8000</v>
      </c>
      <c r="E32" s="5" t="s">
        <v>218</v>
      </c>
      <c r="F32" s="5" t="s">
        <v>219</v>
      </c>
      <c r="G32" s="5">
        <v>15480000</v>
      </c>
      <c r="H32" s="5">
        <v>92736000</v>
      </c>
      <c r="I32" s="5">
        <v>9</v>
      </c>
      <c r="J32" s="5">
        <v>1840</v>
      </c>
      <c r="L32" s="5">
        <v>270</v>
      </c>
      <c r="M32" s="5">
        <f t="shared" si="1"/>
        <v>1800</v>
      </c>
      <c r="N32" s="5">
        <f t="shared" si="0"/>
        <v>135</v>
      </c>
      <c r="O32" s="5">
        <v>0</v>
      </c>
      <c r="P32" s="5" t="str">
        <f t="shared" si="2"/>
        <v/>
      </c>
    </row>
    <row r="33" spans="2:16" x14ac:dyDescent="0.4">
      <c r="B33" s="5">
        <v>28</v>
      </c>
      <c r="C33" s="5" t="s">
        <v>220</v>
      </c>
      <c r="D33" s="5">
        <v>9000</v>
      </c>
      <c r="E33" s="5" t="s">
        <v>221</v>
      </c>
      <c r="F33" s="5" t="s">
        <v>222</v>
      </c>
      <c r="G33" s="5">
        <v>22800000</v>
      </c>
      <c r="H33" s="5">
        <v>98784000</v>
      </c>
      <c r="I33" s="5">
        <v>9</v>
      </c>
      <c r="J33" s="5">
        <v>1960</v>
      </c>
      <c r="K33" s="3" t="s">
        <v>223</v>
      </c>
      <c r="L33" s="5">
        <v>290</v>
      </c>
      <c r="M33" s="5">
        <f t="shared" si="1"/>
        <v>2000</v>
      </c>
      <c r="N33" s="5">
        <f t="shared" si="0"/>
        <v>145</v>
      </c>
      <c r="O33" s="5">
        <v>0</v>
      </c>
      <c r="P33" s="5">
        <f t="shared" si="2"/>
        <v>1</v>
      </c>
    </row>
    <row r="34" spans="2:16" x14ac:dyDescent="0.4">
      <c r="B34" s="5">
        <v>29</v>
      </c>
      <c r="C34" s="5" t="s">
        <v>224</v>
      </c>
      <c r="D34" s="5">
        <v>8500</v>
      </c>
      <c r="E34" s="5" t="s">
        <v>225</v>
      </c>
      <c r="F34" s="5" t="s">
        <v>226</v>
      </c>
      <c r="G34" s="5">
        <v>25370000</v>
      </c>
      <c r="H34" s="5">
        <v>104832000</v>
      </c>
      <c r="I34" s="5">
        <v>9</v>
      </c>
      <c r="J34" s="5">
        <v>2080</v>
      </c>
      <c r="L34" s="5">
        <v>310</v>
      </c>
      <c r="M34" s="5">
        <f t="shared" si="1"/>
        <v>2000</v>
      </c>
      <c r="N34" s="5">
        <f t="shared" si="0"/>
        <v>155</v>
      </c>
      <c r="O34" s="5">
        <v>0</v>
      </c>
      <c r="P34" s="5" t="str">
        <f t="shared" si="2"/>
        <v/>
      </c>
    </row>
    <row r="35" spans="2:16" x14ac:dyDescent="0.4">
      <c r="B35" s="5">
        <v>30</v>
      </c>
      <c r="C35" s="5" t="s">
        <v>227</v>
      </c>
      <c r="D35" s="5">
        <v>8000</v>
      </c>
      <c r="E35" s="5" t="s">
        <v>228</v>
      </c>
      <c r="F35" s="5" t="s">
        <v>229</v>
      </c>
      <c r="G35" s="5">
        <v>28090000</v>
      </c>
      <c r="H35" s="5">
        <v>110880000</v>
      </c>
      <c r="I35" s="5">
        <v>9</v>
      </c>
      <c r="J35" s="5">
        <v>2200</v>
      </c>
      <c r="L35" s="5">
        <v>330</v>
      </c>
      <c r="M35" s="5">
        <f t="shared" si="1"/>
        <v>2000</v>
      </c>
      <c r="N35" s="5">
        <f t="shared" si="0"/>
        <v>165</v>
      </c>
      <c r="O35" s="5">
        <v>0</v>
      </c>
      <c r="P35" s="5" t="str">
        <f t="shared" si="2"/>
        <v/>
      </c>
    </row>
    <row r="36" spans="2:16" x14ac:dyDescent="0.4">
      <c r="B36" s="5">
        <v>31</v>
      </c>
      <c r="C36" s="5" t="s">
        <v>230</v>
      </c>
      <c r="D36" s="5">
        <v>8000</v>
      </c>
      <c r="E36" s="5" t="s">
        <v>231</v>
      </c>
      <c r="F36" s="5" t="s">
        <v>232</v>
      </c>
      <c r="G36" s="5">
        <v>31100000</v>
      </c>
      <c r="H36" s="5">
        <v>117432000</v>
      </c>
      <c r="I36" s="5">
        <v>9</v>
      </c>
      <c r="J36" s="5">
        <v>2330</v>
      </c>
      <c r="L36" s="5">
        <v>350</v>
      </c>
      <c r="M36" s="5">
        <f t="shared" si="1"/>
        <v>2200</v>
      </c>
      <c r="N36" s="5">
        <f t="shared" si="0"/>
        <v>175</v>
      </c>
      <c r="O36" s="5">
        <v>0</v>
      </c>
      <c r="P36" s="5">
        <f t="shared" si="2"/>
        <v>1</v>
      </c>
    </row>
    <row r="37" spans="2:16" x14ac:dyDescent="0.4">
      <c r="B37" s="5">
        <v>32</v>
      </c>
      <c r="C37" s="5" t="s">
        <v>233</v>
      </c>
      <c r="D37" s="5">
        <v>7500</v>
      </c>
      <c r="E37" s="5" t="s">
        <v>234</v>
      </c>
      <c r="F37" s="5" t="s">
        <v>235</v>
      </c>
      <c r="G37" s="5">
        <v>34410000</v>
      </c>
      <c r="H37" s="5">
        <v>124488000</v>
      </c>
      <c r="I37" s="5">
        <v>9</v>
      </c>
      <c r="J37" s="5">
        <v>2470</v>
      </c>
      <c r="L37" s="5">
        <v>370</v>
      </c>
      <c r="M37" s="5">
        <f t="shared" si="1"/>
        <v>2200</v>
      </c>
      <c r="N37" s="5">
        <f t="shared" si="0"/>
        <v>185</v>
      </c>
      <c r="O37" s="5">
        <v>0</v>
      </c>
      <c r="P37" s="5" t="str">
        <f t="shared" si="2"/>
        <v/>
      </c>
    </row>
    <row r="38" spans="2:16" x14ac:dyDescent="0.4">
      <c r="B38" s="5">
        <v>33</v>
      </c>
      <c r="C38" s="5" t="s">
        <v>236</v>
      </c>
      <c r="D38" s="5">
        <v>7000</v>
      </c>
      <c r="E38" s="5" t="s">
        <v>237</v>
      </c>
      <c r="F38" s="5" t="s">
        <v>238</v>
      </c>
      <c r="G38" s="5">
        <v>38050000</v>
      </c>
      <c r="H38" s="5">
        <v>132048000</v>
      </c>
      <c r="I38" s="5">
        <v>9</v>
      </c>
      <c r="J38" s="5">
        <v>2620</v>
      </c>
      <c r="L38" s="5">
        <v>390</v>
      </c>
      <c r="M38" s="5">
        <f t="shared" si="1"/>
        <v>2200</v>
      </c>
      <c r="N38" s="5">
        <f t="shared" si="0"/>
        <v>195</v>
      </c>
      <c r="O38" s="5">
        <v>0</v>
      </c>
      <c r="P38" s="5" t="str">
        <f t="shared" si="2"/>
        <v/>
      </c>
    </row>
    <row r="39" spans="2:16" x14ac:dyDescent="0.4">
      <c r="B39" s="5">
        <v>34</v>
      </c>
      <c r="C39" s="5" t="s">
        <v>239</v>
      </c>
      <c r="D39" s="5">
        <v>7000</v>
      </c>
      <c r="E39" s="5" t="s">
        <v>240</v>
      </c>
      <c r="F39" s="5" t="s">
        <v>241</v>
      </c>
      <c r="G39" s="5">
        <v>42040000</v>
      </c>
      <c r="H39" s="5">
        <v>140112000</v>
      </c>
      <c r="I39" s="5">
        <v>9</v>
      </c>
      <c r="J39" s="5">
        <v>2780</v>
      </c>
      <c r="L39" s="5">
        <v>410</v>
      </c>
      <c r="M39" s="5">
        <f t="shared" si="1"/>
        <v>2400</v>
      </c>
      <c r="N39" s="5">
        <f t="shared" si="0"/>
        <v>205</v>
      </c>
      <c r="O39" s="5">
        <v>0</v>
      </c>
      <c r="P39" s="5">
        <f t="shared" si="2"/>
        <v>1</v>
      </c>
    </row>
    <row r="40" spans="2:16" x14ac:dyDescent="0.4">
      <c r="B40" s="5">
        <v>35</v>
      </c>
      <c r="C40" s="5" t="s">
        <v>242</v>
      </c>
      <c r="D40" s="5">
        <v>6500</v>
      </c>
      <c r="E40" s="5" t="s">
        <v>243</v>
      </c>
      <c r="F40" s="5" t="s">
        <v>244</v>
      </c>
      <c r="G40" s="5">
        <v>46390000</v>
      </c>
      <c r="H40" s="5">
        <v>148680000</v>
      </c>
      <c r="I40" s="5">
        <v>9</v>
      </c>
      <c r="J40" s="5">
        <v>2950</v>
      </c>
      <c r="L40" s="5">
        <v>430</v>
      </c>
      <c r="M40" s="5">
        <f t="shared" si="1"/>
        <v>2400</v>
      </c>
      <c r="N40" s="5">
        <f t="shared" si="0"/>
        <v>215</v>
      </c>
      <c r="O40" s="5">
        <v>0</v>
      </c>
      <c r="P40" s="5" t="str">
        <f t="shared" si="2"/>
        <v/>
      </c>
    </row>
    <row r="41" spans="2:16" x14ac:dyDescent="0.4">
      <c r="B41" s="5">
        <v>36</v>
      </c>
      <c r="C41" s="5" t="s">
        <v>245</v>
      </c>
      <c r="D41" s="5">
        <v>6000</v>
      </c>
      <c r="E41" s="5" t="s">
        <v>246</v>
      </c>
      <c r="F41" s="5" t="s">
        <v>247</v>
      </c>
      <c r="G41" s="5">
        <v>51130000</v>
      </c>
      <c r="H41" s="5">
        <v>157752000</v>
      </c>
      <c r="I41" s="5">
        <v>9</v>
      </c>
      <c r="J41" s="5">
        <v>3130</v>
      </c>
      <c r="L41" s="5">
        <v>450</v>
      </c>
      <c r="M41" s="5">
        <f t="shared" si="1"/>
        <v>2400</v>
      </c>
      <c r="N41" s="5">
        <f t="shared" si="0"/>
        <v>225</v>
      </c>
      <c r="O41" s="5">
        <v>0</v>
      </c>
      <c r="P41" s="5" t="str">
        <f t="shared" si="2"/>
        <v/>
      </c>
    </row>
    <row r="42" spans="2:16" x14ac:dyDescent="0.4">
      <c r="B42" s="5">
        <v>37</v>
      </c>
      <c r="C42" s="5" t="s">
        <v>248</v>
      </c>
      <c r="D42" s="5">
        <v>6000</v>
      </c>
      <c r="E42" s="5" t="s">
        <v>249</v>
      </c>
      <c r="F42" s="5" t="s">
        <v>250</v>
      </c>
      <c r="G42" s="5">
        <v>56270000</v>
      </c>
      <c r="H42" s="5">
        <v>167328000</v>
      </c>
      <c r="I42" s="5">
        <v>9</v>
      </c>
      <c r="J42" s="5">
        <v>3320</v>
      </c>
      <c r="L42" s="5">
        <v>470</v>
      </c>
      <c r="M42" s="5">
        <f t="shared" si="1"/>
        <v>2600</v>
      </c>
      <c r="N42" s="5">
        <f t="shared" si="0"/>
        <v>235</v>
      </c>
      <c r="O42" s="5">
        <v>0</v>
      </c>
      <c r="P42" s="5">
        <f t="shared" si="2"/>
        <v>1</v>
      </c>
    </row>
    <row r="43" spans="2:16" x14ac:dyDescent="0.4">
      <c r="B43" s="5">
        <v>38</v>
      </c>
      <c r="C43" s="5" t="s">
        <v>251</v>
      </c>
      <c r="D43" s="5">
        <v>5500</v>
      </c>
      <c r="E43" s="5" t="s">
        <v>252</v>
      </c>
      <c r="F43" s="5" t="s">
        <v>253</v>
      </c>
      <c r="G43" s="5">
        <v>61850000</v>
      </c>
      <c r="H43" s="5">
        <v>177408000</v>
      </c>
      <c r="I43" s="5">
        <v>9</v>
      </c>
      <c r="J43" s="5">
        <v>3520</v>
      </c>
      <c r="L43" s="5">
        <v>490</v>
      </c>
      <c r="M43" s="5">
        <f t="shared" si="1"/>
        <v>2600</v>
      </c>
      <c r="N43" s="5">
        <f t="shared" si="0"/>
        <v>245</v>
      </c>
      <c r="O43" s="5">
        <v>0</v>
      </c>
      <c r="P43" s="5" t="str">
        <f t="shared" si="2"/>
        <v/>
      </c>
    </row>
    <row r="44" spans="2:16" x14ac:dyDescent="0.4">
      <c r="B44" s="5">
        <v>39</v>
      </c>
      <c r="C44" s="5" t="s">
        <v>254</v>
      </c>
      <c r="D44" s="5">
        <v>5000</v>
      </c>
      <c r="E44" s="5" t="s">
        <v>255</v>
      </c>
      <c r="F44" s="5" t="s">
        <v>256</v>
      </c>
      <c r="G44" s="5">
        <v>67880000</v>
      </c>
      <c r="H44" s="5">
        <v>187992000</v>
      </c>
      <c r="I44" s="5">
        <v>9</v>
      </c>
      <c r="J44" s="5">
        <v>3730</v>
      </c>
      <c r="L44" s="5">
        <v>510</v>
      </c>
      <c r="M44" s="5">
        <f t="shared" si="1"/>
        <v>2600</v>
      </c>
      <c r="N44" s="5">
        <f t="shared" si="0"/>
        <v>255</v>
      </c>
      <c r="O44" s="5">
        <v>0</v>
      </c>
      <c r="P44" s="5" t="str">
        <f t="shared" si="2"/>
        <v/>
      </c>
    </row>
    <row r="45" spans="2:16" x14ac:dyDescent="0.4">
      <c r="B45" s="5">
        <v>40</v>
      </c>
      <c r="C45" s="5" t="s">
        <v>257</v>
      </c>
      <c r="D45" s="5">
        <v>5000</v>
      </c>
      <c r="E45" s="5" t="s">
        <v>258</v>
      </c>
      <c r="F45" s="5" t="s">
        <v>259</v>
      </c>
      <c r="G45" s="5">
        <v>74380000</v>
      </c>
      <c r="H45" s="5">
        <v>199080000</v>
      </c>
      <c r="I45" s="5">
        <v>9</v>
      </c>
      <c r="J45" s="5">
        <v>3950</v>
      </c>
      <c r="L45" s="5">
        <v>530</v>
      </c>
      <c r="M45" s="5">
        <f t="shared" si="1"/>
        <v>2800</v>
      </c>
      <c r="N45" s="5">
        <f t="shared" si="0"/>
        <v>265</v>
      </c>
      <c r="O45" s="5">
        <v>0</v>
      </c>
      <c r="P45" s="5">
        <f t="shared" si="2"/>
        <v>1</v>
      </c>
    </row>
    <row r="46" spans="2:16" x14ac:dyDescent="0.4">
      <c r="B46" s="5">
        <v>41</v>
      </c>
      <c r="C46" s="5" t="s">
        <v>260</v>
      </c>
      <c r="D46" s="5">
        <v>4500</v>
      </c>
      <c r="E46" s="5" t="s">
        <v>261</v>
      </c>
      <c r="F46" s="5" t="s">
        <v>262</v>
      </c>
      <c r="G46" s="5">
        <v>81380000</v>
      </c>
      <c r="H46" s="5">
        <v>210672000</v>
      </c>
      <c r="I46" s="5">
        <v>9</v>
      </c>
      <c r="J46" s="5">
        <v>4180</v>
      </c>
      <c r="L46" s="5">
        <v>550</v>
      </c>
      <c r="M46" s="5">
        <f t="shared" si="1"/>
        <v>2800</v>
      </c>
      <c r="N46" s="5">
        <f t="shared" si="0"/>
        <v>275</v>
      </c>
      <c r="O46" s="5">
        <v>0</v>
      </c>
      <c r="P46" s="5" t="str">
        <f t="shared" si="2"/>
        <v/>
      </c>
    </row>
    <row r="47" spans="2:16" x14ac:dyDescent="0.4">
      <c r="B47" s="5">
        <v>42</v>
      </c>
      <c r="C47" s="5" t="s">
        <v>263</v>
      </c>
      <c r="D47" s="5">
        <v>4000</v>
      </c>
      <c r="E47" s="5" t="s">
        <v>264</v>
      </c>
      <c r="F47" s="5" t="s">
        <v>265</v>
      </c>
      <c r="G47" s="5">
        <v>88900000</v>
      </c>
      <c r="H47" s="5">
        <v>222768000</v>
      </c>
      <c r="I47" s="5">
        <v>9</v>
      </c>
      <c r="J47" s="5">
        <v>4420</v>
      </c>
      <c r="L47" s="5">
        <v>570</v>
      </c>
      <c r="M47" s="5">
        <f t="shared" si="1"/>
        <v>2800</v>
      </c>
      <c r="N47" s="5">
        <f t="shared" si="0"/>
        <v>285</v>
      </c>
      <c r="O47" s="5">
        <v>0</v>
      </c>
      <c r="P47" s="5" t="str">
        <f t="shared" si="2"/>
        <v/>
      </c>
    </row>
    <row r="48" spans="2:16" x14ac:dyDescent="0.4">
      <c r="B48" s="5">
        <v>43</v>
      </c>
      <c r="C48" s="5" t="s">
        <v>266</v>
      </c>
      <c r="D48" s="5">
        <v>4000</v>
      </c>
      <c r="E48" s="5" t="s">
        <v>267</v>
      </c>
      <c r="F48" s="5" t="s">
        <v>268</v>
      </c>
      <c r="G48" s="5">
        <v>96960000</v>
      </c>
      <c r="H48" s="5">
        <v>235368000</v>
      </c>
      <c r="I48" s="5">
        <v>9</v>
      </c>
      <c r="J48" s="5">
        <v>4670</v>
      </c>
      <c r="L48" s="5">
        <v>590</v>
      </c>
      <c r="M48" s="5">
        <f t="shared" si="1"/>
        <v>3000</v>
      </c>
      <c r="N48" s="5">
        <f t="shared" si="0"/>
        <v>295</v>
      </c>
      <c r="O48" s="5">
        <v>0</v>
      </c>
      <c r="P48" s="5">
        <f t="shared" si="2"/>
        <v>1</v>
      </c>
    </row>
    <row r="49" spans="2:16" x14ac:dyDescent="0.4">
      <c r="B49" s="5">
        <v>44</v>
      </c>
      <c r="C49" s="5" t="s">
        <v>269</v>
      </c>
      <c r="D49" s="5">
        <v>3500</v>
      </c>
      <c r="E49" s="5" t="s">
        <v>270</v>
      </c>
      <c r="F49" s="5" t="s">
        <v>271</v>
      </c>
      <c r="G49" s="5">
        <v>105590000</v>
      </c>
      <c r="H49" s="5">
        <v>248472000</v>
      </c>
      <c r="I49" s="5">
        <v>9</v>
      </c>
      <c r="J49" s="5">
        <v>4930</v>
      </c>
      <c r="L49" s="5">
        <v>610</v>
      </c>
      <c r="M49" s="5">
        <f t="shared" si="1"/>
        <v>3000</v>
      </c>
      <c r="N49" s="5">
        <f t="shared" si="0"/>
        <v>305</v>
      </c>
      <c r="O49" s="5">
        <v>0</v>
      </c>
      <c r="P49" s="5" t="str">
        <f t="shared" si="2"/>
        <v/>
      </c>
    </row>
    <row r="50" spans="2:16" x14ac:dyDescent="0.4">
      <c r="B50" s="5">
        <v>45</v>
      </c>
      <c r="C50" s="5" t="s">
        <v>272</v>
      </c>
      <c r="D50" s="5">
        <v>3000</v>
      </c>
      <c r="E50" s="5" t="s">
        <v>273</v>
      </c>
      <c r="F50" s="5" t="s">
        <v>274</v>
      </c>
      <c r="G50" s="5">
        <v>114800000</v>
      </c>
      <c r="H50" s="5">
        <v>262080000</v>
      </c>
      <c r="I50" s="5">
        <v>9</v>
      </c>
      <c r="J50" s="5">
        <v>5200</v>
      </c>
      <c r="L50" s="5">
        <v>630</v>
      </c>
      <c r="M50" s="5">
        <f t="shared" si="1"/>
        <v>3000</v>
      </c>
      <c r="N50" s="5">
        <f t="shared" si="0"/>
        <v>315</v>
      </c>
      <c r="O50" s="5">
        <v>0</v>
      </c>
      <c r="P50" s="5" t="str">
        <f t="shared" si="2"/>
        <v/>
      </c>
    </row>
    <row r="51" spans="2:16" x14ac:dyDescent="0.4">
      <c r="B51" s="5">
        <v>46</v>
      </c>
      <c r="C51" s="5" t="s">
        <v>275</v>
      </c>
      <c r="D51" s="5">
        <v>3000</v>
      </c>
      <c r="E51" s="5" t="s">
        <v>276</v>
      </c>
      <c r="F51" s="5" t="s">
        <v>277</v>
      </c>
      <c r="G51" s="5">
        <v>168450000</v>
      </c>
      <c r="H51" s="5">
        <v>276192000</v>
      </c>
      <c r="I51" s="5">
        <v>9</v>
      </c>
      <c r="J51" s="5">
        <v>5480</v>
      </c>
      <c r="L51" s="5">
        <v>650</v>
      </c>
      <c r="M51" s="5">
        <f t="shared" si="1"/>
        <v>3200</v>
      </c>
      <c r="N51" s="5">
        <f t="shared" si="0"/>
        <v>325</v>
      </c>
      <c r="O51" s="5">
        <v>0</v>
      </c>
      <c r="P51" s="5">
        <f t="shared" si="2"/>
        <v>1</v>
      </c>
    </row>
    <row r="52" spans="2:16" x14ac:dyDescent="0.4">
      <c r="B52" s="5">
        <v>47</v>
      </c>
      <c r="C52" s="5" t="s">
        <v>278</v>
      </c>
      <c r="D52" s="5">
        <v>3000</v>
      </c>
      <c r="E52" s="5" t="s">
        <v>279</v>
      </c>
      <c r="F52" s="5" t="s">
        <v>280</v>
      </c>
      <c r="G52" s="5">
        <v>182790000</v>
      </c>
      <c r="H52" s="5">
        <v>290808000</v>
      </c>
      <c r="I52" s="5">
        <v>9</v>
      </c>
      <c r="J52" s="5">
        <v>5770</v>
      </c>
      <c r="L52" s="5">
        <v>670</v>
      </c>
      <c r="M52" s="5">
        <f t="shared" si="1"/>
        <v>3200</v>
      </c>
      <c r="N52" s="5">
        <f t="shared" si="0"/>
        <v>335</v>
      </c>
      <c r="O52" s="5">
        <v>0</v>
      </c>
      <c r="P52" s="5" t="str">
        <f t="shared" si="2"/>
        <v/>
      </c>
    </row>
    <row r="53" spans="2:16" x14ac:dyDescent="0.4">
      <c r="B53" s="5">
        <v>48</v>
      </c>
      <c r="C53" s="5" t="s">
        <v>281</v>
      </c>
      <c r="D53" s="5">
        <v>3000</v>
      </c>
      <c r="E53" s="5" t="s">
        <v>282</v>
      </c>
      <c r="F53" s="5" t="s">
        <v>283</v>
      </c>
      <c r="G53" s="5">
        <v>198040000</v>
      </c>
      <c r="H53" s="5">
        <v>305928000</v>
      </c>
      <c r="I53" s="5">
        <v>9</v>
      </c>
      <c r="J53" s="5">
        <v>6070</v>
      </c>
      <c r="L53" s="5">
        <v>690</v>
      </c>
      <c r="M53" s="5">
        <f t="shared" si="1"/>
        <v>3200</v>
      </c>
      <c r="N53" s="5">
        <f t="shared" si="0"/>
        <v>345</v>
      </c>
      <c r="O53" s="5">
        <v>0</v>
      </c>
      <c r="P53" s="5" t="str">
        <f t="shared" si="2"/>
        <v/>
      </c>
    </row>
    <row r="54" spans="2:16" x14ac:dyDescent="0.4">
      <c r="B54" s="5">
        <v>49</v>
      </c>
      <c r="C54" s="5" t="s">
        <v>284</v>
      </c>
      <c r="D54" s="5">
        <v>3000</v>
      </c>
      <c r="E54" s="5" t="s">
        <v>285</v>
      </c>
      <c r="F54" s="5" t="s">
        <v>286</v>
      </c>
      <c r="G54" s="5">
        <v>213920000</v>
      </c>
      <c r="H54" s="5">
        <v>321048000</v>
      </c>
      <c r="I54" s="5">
        <v>9</v>
      </c>
      <c r="J54" s="5">
        <v>6370</v>
      </c>
      <c r="L54" s="5">
        <v>710</v>
      </c>
      <c r="M54" s="5">
        <f t="shared" si="1"/>
        <v>3400</v>
      </c>
      <c r="N54" s="5">
        <f t="shared" si="0"/>
        <v>355</v>
      </c>
      <c r="O54" s="5">
        <v>0</v>
      </c>
      <c r="P54" s="5">
        <f t="shared" si="2"/>
        <v>1</v>
      </c>
    </row>
    <row r="55" spans="2:16" x14ac:dyDescent="0.4">
      <c r="B55" s="5">
        <v>50</v>
      </c>
      <c r="C55" s="5" t="s">
        <v>287</v>
      </c>
      <c r="D55" s="5">
        <v>3000</v>
      </c>
      <c r="E55" s="5" t="s">
        <v>288</v>
      </c>
      <c r="F55" s="5" t="s">
        <v>289</v>
      </c>
      <c r="G55" s="5">
        <v>230420000</v>
      </c>
      <c r="H55" s="5">
        <v>336168000</v>
      </c>
      <c r="I55" s="5">
        <v>9</v>
      </c>
      <c r="J55" s="5">
        <v>6670</v>
      </c>
      <c r="L55" s="5">
        <v>730</v>
      </c>
      <c r="M55" s="5">
        <f t="shared" si="1"/>
        <v>3400</v>
      </c>
      <c r="N55" s="5">
        <f t="shared" si="0"/>
        <v>365</v>
      </c>
      <c r="O55" s="5">
        <v>0</v>
      </c>
      <c r="P55" s="5" t="str">
        <f t="shared" si="2"/>
        <v/>
      </c>
    </row>
    <row r="56" spans="2:16" x14ac:dyDescent="0.4">
      <c r="B56" s="5">
        <v>51</v>
      </c>
      <c r="C56" s="5" t="s">
        <v>290</v>
      </c>
      <c r="D56" s="5">
        <v>3000</v>
      </c>
      <c r="E56" s="5" t="s">
        <v>291</v>
      </c>
      <c r="F56" s="5" t="s">
        <v>292</v>
      </c>
      <c r="G56" s="5">
        <v>247550000</v>
      </c>
      <c r="H56" s="5">
        <v>351288000</v>
      </c>
      <c r="I56" s="5">
        <v>9</v>
      </c>
      <c r="J56" s="5">
        <v>6970</v>
      </c>
      <c r="L56" s="5">
        <v>750</v>
      </c>
      <c r="M56" s="5">
        <f t="shared" si="1"/>
        <v>3400</v>
      </c>
      <c r="N56" s="5">
        <f t="shared" si="0"/>
        <v>375</v>
      </c>
      <c r="O56" s="5">
        <v>0</v>
      </c>
      <c r="P56" s="5" t="str">
        <f t="shared" si="2"/>
        <v/>
      </c>
    </row>
    <row r="57" spans="2:16" x14ac:dyDescent="0.4">
      <c r="B57" s="5">
        <v>52</v>
      </c>
      <c r="C57" s="5" t="s">
        <v>293</v>
      </c>
      <c r="D57" s="5">
        <v>3000</v>
      </c>
      <c r="E57" s="5" t="s">
        <v>294</v>
      </c>
      <c r="F57" s="5" t="s">
        <v>295</v>
      </c>
      <c r="G57" s="5">
        <v>265330000</v>
      </c>
      <c r="H57" s="5">
        <v>366408000</v>
      </c>
      <c r="I57" s="5">
        <v>9</v>
      </c>
      <c r="J57" s="5">
        <v>7270</v>
      </c>
      <c r="L57" s="5">
        <v>770</v>
      </c>
      <c r="M57" s="5">
        <f t="shared" si="1"/>
        <v>3600</v>
      </c>
      <c r="N57" s="5">
        <f t="shared" si="0"/>
        <v>385</v>
      </c>
      <c r="O57" s="5">
        <v>0</v>
      </c>
      <c r="P57" s="5">
        <f t="shared" si="2"/>
        <v>1</v>
      </c>
    </row>
    <row r="58" spans="2:16" x14ac:dyDescent="0.4">
      <c r="B58" s="5">
        <v>53</v>
      </c>
      <c r="C58" s="5" t="s">
        <v>296</v>
      </c>
      <c r="D58" s="5">
        <v>3000</v>
      </c>
      <c r="E58" s="5" t="s">
        <v>297</v>
      </c>
      <c r="F58" s="5" t="s">
        <v>298</v>
      </c>
      <c r="G58" s="5">
        <v>283740000</v>
      </c>
      <c r="H58" s="5">
        <v>381528000</v>
      </c>
      <c r="I58" s="5">
        <v>9</v>
      </c>
      <c r="J58" s="5">
        <v>7570</v>
      </c>
      <c r="L58" s="5">
        <v>790</v>
      </c>
      <c r="M58" s="5">
        <f t="shared" si="1"/>
        <v>3600</v>
      </c>
      <c r="N58" s="5">
        <f t="shared" si="0"/>
        <v>395</v>
      </c>
      <c r="O58" s="5">
        <v>0</v>
      </c>
      <c r="P58" s="5" t="str">
        <f t="shared" si="2"/>
        <v/>
      </c>
    </row>
    <row r="59" spans="2:16" x14ac:dyDescent="0.4">
      <c r="B59" s="5">
        <v>54</v>
      </c>
      <c r="C59" s="5" t="s">
        <v>299</v>
      </c>
      <c r="D59" s="5">
        <v>3000</v>
      </c>
      <c r="E59" s="5" t="s">
        <v>300</v>
      </c>
      <c r="F59" s="5" t="s">
        <v>301</v>
      </c>
      <c r="G59" s="5">
        <v>302810000</v>
      </c>
      <c r="H59" s="5">
        <v>396648000</v>
      </c>
      <c r="I59" s="5">
        <v>9</v>
      </c>
      <c r="J59" s="5">
        <v>7870</v>
      </c>
      <c r="L59" s="5">
        <v>810</v>
      </c>
      <c r="M59" s="5">
        <f t="shared" si="1"/>
        <v>3600</v>
      </c>
      <c r="N59" s="5">
        <f t="shared" si="0"/>
        <v>405</v>
      </c>
      <c r="O59" s="5">
        <v>0</v>
      </c>
      <c r="P59" s="5" t="str">
        <f t="shared" si="2"/>
        <v/>
      </c>
    </row>
    <row r="60" spans="2:16" x14ac:dyDescent="0.4">
      <c r="B60" s="5">
        <v>55</v>
      </c>
      <c r="C60" s="5" t="s">
        <v>302</v>
      </c>
      <c r="D60" s="5">
        <v>3000</v>
      </c>
      <c r="E60" s="5" t="s">
        <v>303</v>
      </c>
      <c r="F60" s="5" t="s">
        <v>304</v>
      </c>
      <c r="G60" s="5">
        <v>322530000</v>
      </c>
      <c r="H60" s="5">
        <v>411768000</v>
      </c>
      <c r="I60" s="5">
        <v>9</v>
      </c>
      <c r="J60" s="5">
        <v>8170</v>
      </c>
      <c r="L60" s="5">
        <v>830</v>
      </c>
      <c r="M60" s="5">
        <f t="shared" si="1"/>
        <v>3800</v>
      </c>
      <c r="N60" s="5">
        <f t="shared" si="0"/>
        <v>415</v>
      </c>
      <c r="O60" s="5">
        <v>0</v>
      </c>
      <c r="P60" s="5">
        <f t="shared" si="2"/>
        <v>1</v>
      </c>
    </row>
    <row r="61" spans="2:16" x14ac:dyDescent="0.4">
      <c r="B61" s="5">
        <v>56</v>
      </c>
      <c r="C61" s="5" t="s">
        <v>305</v>
      </c>
      <c r="D61" s="5">
        <v>3000</v>
      </c>
      <c r="E61" s="5" t="s">
        <v>306</v>
      </c>
      <c r="F61" s="5" t="s">
        <v>307</v>
      </c>
      <c r="G61" s="5">
        <v>342920000</v>
      </c>
      <c r="H61" s="5">
        <v>426888000</v>
      </c>
      <c r="I61" s="5">
        <v>9</v>
      </c>
      <c r="J61" s="5">
        <v>8470</v>
      </c>
      <c r="L61" s="5">
        <v>850</v>
      </c>
      <c r="M61" s="5">
        <f t="shared" si="1"/>
        <v>3800</v>
      </c>
      <c r="N61" s="5">
        <f t="shared" si="0"/>
        <v>425</v>
      </c>
      <c r="O61" s="5">
        <v>0</v>
      </c>
      <c r="P61" s="5" t="str">
        <f t="shared" si="2"/>
        <v/>
      </c>
    </row>
    <row r="62" spans="2:16" x14ac:dyDescent="0.4">
      <c r="B62" s="5">
        <v>57</v>
      </c>
      <c r="C62" s="5" t="s">
        <v>308</v>
      </c>
      <c r="D62" s="5">
        <v>3000</v>
      </c>
      <c r="E62" s="5" t="s">
        <v>309</v>
      </c>
      <c r="F62" s="5" t="s">
        <v>310</v>
      </c>
      <c r="G62" s="5">
        <v>363970000</v>
      </c>
      <c r="H62" s="5">
        <v>442008000</v>
      </c>
      <c r="I62" s="5">
        <v>9</v>
      </c>
      <c r="J62" s="5">
        <v>8770</v>
      </c>
      <c r="L62" s="5">
        <v>870</v>
      </c>
      <c r="M62" s="5">
        <f t="shared" si="1"/>
        <v>3800</v>
      </c>
      <c r="N62" s="5">
        <f t="shared" si="0"/>
        <v>435</v>
      </c>
      <c r="O62" s="5">
        <v>0</v>
      </c>
      <c r="P62" s="5" t="str">
        <f t="shared" si="2"/>
        <v/>
      </c>
    </row>
    <row r="63" spans="2:16" x14ac:dyDescent="0.4">
      <c r="B63" s="5">
        <v>58</v>
      </c>
      <c r="C63" s="5" t="s">
        <v>311</v>
      </c>
      <c r="D63" s="5">
        <v>3000</v>
      </c>
      <c r="E63" s="5" t="s">
        <v>312</v>
      </c>
      <c r="F63" s="5" t="s">
        <v>313</v>
      </c>
      <c r="G63" s="5">
        <v>385700000</v>
      </c>
      <c r="H63" s="5">
        <v>457128000</v>
      </c>
      <c r="I63" s="5">
        <v>9</v>
      </c>
      <c r="J63" s="5">
        <v>9070</v>
      </c>
      <c r="L63" s="5">
        <v>890</v>
      </c>
      <c r="M63" s="5">
        <f t="shared" si="1"/>
        <v>4000</v>
      </c>
      <c r="N63" s="5">
        <f t="shared" si="0"/>
        <v>445</v>
      </c>
      <c r="O63" s="5">
        <v>0</v>
      </c>
      <c r="P63" s="5">
        <f t="shared" si="2"/>
        <v>1</v>
      </c>
    </row>
    <row r="64" spans="2:16" x14ac:dyDescent="0.4">
      <c r="B64" s="5">
        <v>59</v>
      </c>
      <c r="C64" s="5" t="s">
        <v>314</v>
      </c>
      <c r="D64" s="5">
        <v>3000</v>
      </c>
      <c r="E64" s="5" t="s">
        <v>315</v>
      </c>
      <c r="F64" s="5" t="s">
        <v>316</v>
      </c>
      <c r="G64" s="5">
        <v>408110000</v>
      </c>
      <c r="H64" s="5">
        <v>472248000</v>
      </c>
      <c r="I64" s="5">
        <v>9</v>
      </c>
      <c r="J64" s="5">
        <v>9370</v>
      </c>
      <c r="L64" s="5">
        <v>910</v>
      </c>
      <c r="M64" s="5">
        <f t="shared" si="1"/>
        <v>4000</v>
      </c>
      <c r="N64" s="5">
        <f t="shared" si="0"/>
        <v>455</v>
      </c>
      <c r="O64" s="5">
        <v>0</v>
      </c>
      <c r="P64" s="5" t="str">
        <f t="shared" si="2"/>
        <v/>
      </c>
    </row>
    <row r="65" spans="2:16" x14ac:dyDescent="0.4">
      <c r="B65" s="5">
        <v>60</v>
      </c>
      <c r="C65" s="5" t="s">
        <v>317</v>
      </c>
      <c r="D65" s="5">
        <v>3000</v>
      </c>
      <c r="E65" s="5" t="s">
        <v>318</v>
      </c>
      <c r="F65" s="5" t="s">
        <v>319</v>
      </c>
      <c r="G65" s="5">
        <v>431200000</v>
      </c>
      <c r="H65" s="5">
        <v>487368000</v>
      </c>
      <c r="I65" s="5">
        <v>9</v>
      </c>
      <c r="J65" s="5">
        <v>9670</v>
      </c>
      <c r="L65" s="5">
        <v>930</v>
      </c>
      <c r="M65" s="5">
        <f t="shared" si="1"/>
        <v>4000</v>
      </c>
      <c r="N65" s="5">
        <f t="shared" si="0"/>
        <v>465</v>
      </c>
      <c r="O65" s="5">
        <v>0</v>
      </c>
      <c r="P65" s="5" t="str">
        <f t="shared" si="2"/>
        <v/>
      </c>
    </row>
    <row r="66" spans="2:16" x14ac:dyDescent="0.4">
      <c r="B66" s="5">
        <v>61</v>
      </c>
      <c r="C66" s="5" t="s">
        <v>320</v>
      </c>
      <c r="D66" s="5">
        <v>3000</v>
      </c>
      <c r="E66" s="5" t="s">
        <v>321</v>
      </c>
      <c r="F66" s="5" t="s">
        <v>322</v>
      </c>
      <c r="G66" s="5">
        <v>454990000</v>
      </c>
      <c r="H66" s="5">
        <v>502488000</v>
      </c>
      <c r="I66" s="5">
        <v>9</v>
      </c>
      <c r="J66" s="5">
        <v>9970</v>
      </c>
      <c r="L66" s="5">
        <v>950</v>
      </c>
      <c r="M66" s="5">
        <f>M63</f>
        <v>4000</v>
      </c>
      <c r="N66" s="5">
        <f t="shared" si="0"/>
        <v>475</v>
      </c>
      <c r="O66" s="5">
        <v>0</v>
      </c>
      <c r="P66" s="5">
        <f t="shared" si="2"/>
        <v>1</v>
      </c>
    </row>
    <row r="67" spans="2:16" x14ac:dyDescent="0.4">
      <c r="B67" s="5">
        <v>62</v>
      </c>
      <c r="C67" s="5" t="s">
        <v>323</v>
      </c>
      <c r="D67" s="5">
        <v>3000</v>
      </c>
      <c r="E67" s="5" t="s">
        <v>324</v>
      </c>
      <c r="F67" s="5" t="s">
        <v>325</v>
      </c>
      <c r="G67" s="5">
        <v>479470000</v>
      </c>
      <c r="H67" s="5">
        <v>517608000</v>
      </c>
      <c r="I67" s="5">
        <v>9</v>
      </c>
      <c r="J67" s="5">
        <v>10270</v>
      </c>
      <c r="L67" s="5">
        <v>970</v>
      </c>
      <c r="M67" s="5">
        <f t="shared" ref="M67:M113" si="3">M64</f>
        <v>4000</v>
      </c>
      <c r="N67" s="5">
        <f t="shared" si="0"/>
        <v>485</v>
      </c>
      <c r="O67" s="5">
        <v>0</v>
      </c>
      <c r="P67" s="5" t="str">
        <f t="shared" si="2"/>
        <v/>
      </c>
    </row>
    <row r="68" spans="2:16" x14ac:dyDescent="0.4">
      <c r="B68" s="5">
        <v>63</v>
      </c>
      <c r="C68" s="5" t="s">
        <v>326</v>
      </c>
      <c r="D68" s="5">
        <v>3000</v>
      </c>
      <c r="E68" s="5" t="s">
        <v>327</v>
      </c>
      <c r="F68" s="5" t="s">
        <v>328</v>
      </c>
      <c r="G68" s="5">
        <v>504660000</v>
      </c>
      <c r="H68" s="5">
        <v>532728000</v>
      </c>
      <c r="I68" s="5">
        <v>9</v>
      </c>
      <c r="J68" s="5">
        <v>10570</v>
      </c>
      <c r="L68" s="5">
        <v>990</v>
      </c>
      <c r="M68" s="5">
        <f t="shared" si="3"/>
        <v>4000</v>
      </c>
      <c r="N68" s="5">
        <f t="shared" si="0"/>
        <v>495</v>
      </c>
      <c r="O68" s="5">
        <v>0</v>
      </c>
      <c r="P68" s="5" t="str">
        <f t="shared" si="2"/>
        <v/>
      </c>
    </row>
    <row r="69" spans="2:16" x14ac:dyDescent="0.4">
      <c r="B69" s="5">
        <v>64</v>
      </c>
      <c r="C69" s="5" t="s">
        <v>329</v>
      </c>
      <c r="D69" s="5">
        <v>3000</v>
      </c>
      <c r="E69" s="5" t="s">
        <v>330</v>
      </c>
      <c r="F69" s="5" t="s">
        <v>331</v>
      </c>
      <c r="G69" s="5">
        <v>530550000</v>
      </c>
      <c r="H69" s="5">
        <v>547848000</v>
      </c>
      <c r="I69" s="5">
        <v>9</v>
      </c>
      <c r="J69" s="5">
        <v>10870</v>
      </c>
      <c r="L69" s="5">
        <v>1010</v>
      </c>
      <c r="M69" s="5">
        <f t="shared" si="3"/>
        <v>4000</v>
      </c>
      <c r="N69" s="5">
        <f t="shared" si="0"/>
        <v>505</v>
      </c>
      <c r="O69" s="5">
        <v>0</v>
      </c>
      <c r="P69" s="5">
        <f t="shared" si="2"/>
        <v>1</v>
      </c>
    </row>
    <row r="70" spans="2:16" x14ac:dyDescent="0.4">
      <c r="B70" s="5">
        <v>65</v>
      </c>
      <c r="C70" s="5" t="s">
        <v>332</v>
      </c>
      <c r="D70" s="5">
        <v>3000</v>
      </c>
      <c r="E70" s="5" t="s">
        <v>333</v>
      </c>
      <c r="F70" s="5" t="s">
        <v>334</v>
      </c>
      <c r="G70" s="5">
        <v>557160000</v>
      </c>
      <c r="H70" s="5">
        <v>562968000</v>
      </c>
      <c r="I70" s="5">
        <v>9</v>
      </c>
      <c r="J70" s="5">
        <v>11170</v>
      </c>
      <c r="L70" s="5">
        <v>1030</v>
      </c>
      <c r="M70" s="5">
        <f t="shared" si="3"/>
        <v>4000</v>
      </c>
      <c r="N70" s="5">
        <f t="shared" si="0"/>
        <v>515</v>
      </c>
      <c r="O70" s="5">
        <v>0</v>
      </c>
      <c r="P70" s="5" t="str">
        <f t="shared" si="2"/>
        <v/>
      </c>
    </row>
    <row r="71" spans="2:16" x14ac:dyDescent="0.4">
      <c r="B71" s="5">
        <v>66</v>
      </c>
      <c r="C71" s="5" t="s">
        <v>335</v>
      </c>
      <c r="D71" s="5">
        <v>3000</v>
      </c>
      <c r="E71" s="5" t="s">
        <v>336</v>
      </c>
      <c r="F71" s="5" t="s">
        <v>337</v>
      </c>
      <c r="G71" s="5">
        <v>584480000</v>
      </c>
      <c r="H71" s="5">
        <v>578088000</v>
      </c>
      <c r="I71" s="5">
        <v>9</v>
      </c>
      <c r="J71" s="5">
        <v>11470</v>
      </c>
      <c r="L71" s="5">
        <v>1050</v>
      </c>
      <c r="M71" s="5">
        <f t="shared" si="3"/>
        <v>4000</v>
      </c>
      <c r="N71" s="5">
        <f t="shared" ref="N71:N113" si="4">L71/2</f>
        <v>525</v>
      </c>
      <c r="O71" s="5">
        <v>0</v>
      </c>
      <c r="P71" s="5" t="str">
        <f t="shared" si="2"/>
        <v/>
      </c>
    </row>
    <row r="72" spans="2:16" x14ac:dyDescent="0.4">
      <c r="B72" s="5">
        <v>67</v>
      </c>
      <c r="C72" s="5" t="s">
        <v>338</v>
      </c>
      <c r="D72" s="5">
        <v>3000</v>
      </c>
      <c r="E72" s="5" t="s">
        <v>339</v>
      </c>
      <c r="F72" s="5" t="s">
        <v>340</v>
      </c>
      <c r="G72" s="5">
        <v>612530000</v>
      </c>
      <c r="H72" s="5">
        <v>593208000</v>
      </c>
      <c r="I72" s="5">
        <v>9</v>
      </c>
      <c r="J72" s="5">
        <v>11770</v>
      </c>
      <c r="L72" s="5">
        <v>1070</v>
      </c>
      <c r="M72" s="5">
        <f t="shared" si="3"/>
        <v>4000</v>
      </c>
      <c r="N72" s="5">
        <f t="shared" si="4"/>
        <v>535</v>
      </c>
      <c r="O72" s="5">
        <v>0</v>
      </c>
      <c r="P72" s="5">
        <f t="shared" si="2"/>
        <v>1</v>
      </c>
    </row>
    <row r="73" spans="2:16" x14ac:dyDescent="0.4">
      <c r="B73" s="5">
        <v>68</v>
      </c>
      <c r="C73" s="5" t="s">
        <v>341</v>
      </c>
      <c r="D73" s="5">
        <v>3000</v>
      </c>
      <c r="E73" s="5" t="s">
        <v>342</v>
      </c>
      <c r="F73" s="5" t="s">
        <v>343</v>
      </c>
      <c r="G73" s="5">
        <v>641300000</v>
      </c>
      <c r="H73" s="5">
        <v>608328000</v>
      </c>
      <c r="I73" s="5">
        <v>9</v>
      </c>
      <c r="J73" s="5">
        <v>12070</v>
      </c>
      <c r="L73" s="5">
        <v>1090</v>
      </c>
      <c r="M73" s="5">
        <f t="shared" si="3"/>
        <v>4000</v>
      </c>
      <c r="N73" s="5">
        <f t="shared" si="4"/>
        <v>545</v>
      </c>
      <c r="O73" s="5">
        <v>0</v>
      </c>
      <c r="P73" s="5" t="str">
        <f t="shared" si="2"/>
        <v/>
      </c>
    </row>
    <row r="74" spans="2:16" x14ac:dyDescent="0.4">
      <c r="B74" s="5">
        <v>69</v>
      </c>
      <c r="C74" s="5" t="s">
        <v>344</v>
      </c>
      <c r="D74" s="5">
        <v>3000</v>
      </c>
      <c r="E74" s="5" t="s">
        <v>345</v>
      </c>
      <c r="F74" s="5" t="s">
        <v>346</v>
      </c>
      <c r="G74" s="5">
        <v>670820000</v>
      </c>
      <c r="H74" s="5">
        <v>623448000</v>
      </c>
      <c r="I74" s="5">
        <v>9</v>
      </c>
      <c r="J74" s="5">
        <v>12370</v>
      </c>
      <c r="L74" s="5">
        <v>1110</v>
      </c>
      <c r="M74" s="5">
        <f t="shared" si="3"/>
        <v>4000</v>
      </c>
      <c r="N74" s="5">
        <f t="shared" si="4"/>
        <v>555</v>
      </c>
      <c r="O74" s="5">
        <v>0</v>
      </c>
      <c r="P74" s="5" t="str">
        <f t="shared" si="2"/>
        <v/>
      </c>
    </row>
    <row r="75" spans="2:16" x14ac:dyDescent="0.4">
      <c r="B75" s="5">
        <v>70</v>
      </c>
      <c r="C75" s="5" t="s">
        <v>347</v>
      </c>
      <c r="D75" s="5">
        <v>3000</v>
      </c>
      <c r="E75" s="5" t="s">
        <v>348</v>
      </c>
      <c r="F75" s="5" t="s">
        <v>349</v>
      </c>
      <c r="G75" s="5">
        <v>701070000</v>
      </c>
      <c r="H75" s="5">
        <v>638568000</v>
      </c>
      <c r="I75" s="5">
        <v>9</v>
      </c>
      <c r="J75" s="5">
        <v>12670</v>
      </c>
      <c r="L75" s="5">
        <v>1130</v>
      </c>
      <c r="M75" s="5">
        <f t="shared" si="3"/>
        <v>4000</v>
      </c>
      <c r="N75" s="5">
        <f t="shared" si="4"/>
        <v>565</v>
      </c>
      <c r="O75" s="5">
        <v>0</v>
      </c>
      <c r="P75" s="5">
        <f t="shared" si="2"/>
        <v>1</v>
      </c>
    </row>
    <row r="76" spans="2:16" x14ac:dyDescent="0.4">
      <c r="B76" s="5">
        <v>71</v>
      </c>
      <c r="C76" s="5" t="s">
        <v>350</v>
      </c>
      <c r="D76" s="5">
        <v>3000</v>
      </c>
      <c r="E76" s="5" t="s">
        <v>351</v>
      </c>
      <c r="F76" s="5" t="s">
        <v>352</v>
      </c>
      <c r="G76" s="5">
        <v>732060000</v>
      </c>
      <c r="H76" s="5">
        <v>653688000</v>
      </c>
      <c r="I76" s="5">
        <v>9</v>
      </c>
      <c r="J76" s="5">
        <v>12970</v>
      </c>
      <c r="L76" s="5">
        <v>1150</v>
      </c>
      <c r="M76" s="5">
        <f t="shared" si="3"/>
        <v>4000</v>
      </c>
      <c r="N76" s="5">
        <f t="shared" si="4"/>
        <v>575</v>
      </c>
      <c r="O76" s="5">
        <v>0</v>
      </c>
      <c r="P76" s="5" t="str">
        <f t="shared" si="2"/>
        <v/>
      </c>
    </row>
    <row r="77" spans="2:16" x14ac:dyDescent="0.4">
      <c r="B77" s="5">
        <v>72</v>
      </c>
      <c r="C77" s="5" t="s">
        <v>353</v>
      </c>
      <c r="D77" s="5">
        <v>3000</v>
      </c>
      <c r="E77" s="5" t="s">
        <v>354</v>
      </c>
      <c r="F77" s="5" t="s">
        <v>355</v>
      </c>
      <c r="G77" s="5">
        <v>763800000</v>
      </c>
      <c r="H77" s="5">
        <v>668808000</v>
      </c>
      <c r="I77" s="5">
        <v>9</v>
      </c>
      <c r="J77" s="5">
        <v>13270</v>
      </c>
      <c r="L77" s="5">
        <v>1170</v>
      </c>
      <c r="M77" s="5">
        <f t="shared" si="3"/>
        <v>4000</v>
      </c>
      <c r="N77" s="5">
        <f t="shared" si="4"/>
        <v>585</v>
      </c>
      <c r="O77" s="5">
        <v>0</v>
      </c>
      <c r="P77" s="5" t="str">
        <f t="shared" si="2"/>
        <v/>
      </c>
    </row>
    <row r="78" spans="2:16" x14ac:dyDescent="0.4">
      <c r="B78" s="5">
        <v>73</v>
      </c>
      <c r="C78" s="5" t="s">
        <v>356</v>
      </c>
      <c r="D78" s="5">
        <v>3000</v>
      </c>
      <c r="E78" s="5" t="s">
        <v>357</v>
      </c>
      <c r="F78" s="5" t="s">
        <v>358</v>
      </c>
      <c r="G78" s="5">
        <v>1523470000</v>
      </c>
      <c r="H78" s="5">
        <v>683928000</v>
      </c>
      <c r="I78" s="5">
        <v>9</v>
      </c>
      <c r="J78" s="5">
        <v>13570</v>
      </c>
      <c r="L78" s="5">
        <v>1190</v>
      </c>
      <c r="M78" s="5">
        <f t="shared" si="3"/>
        <v>4000</v>
      </c>
      <c r="N78" s="5">
        <f t="shared" si="4"/>
        <v>595</v>
      </c>
      <c r="O78" s="5">
        <v>0</v>
      </c>
      <c r="P78" s="5">
        <f t="shared" si="2"/>
        <v>1</v>
      </c>
    </row>
    <row r="79" spans="2:16" x14ac:dyDescent="0.4">
      <c r="B79" s="5">
        <v>74</v>
      </c>
      <c r="C79" s="5" t="s">
        <v>359</v>
      </c>
      <c r="D79" s="5">
        <v>3000</v>
      </c>
      <c r="E79" s="5" t="s">
        <v>360</v>
      </c>
      <c r="F79" s="5" t="s">
        <v>361</v>
      </c>
      <c r="G79" s="5">
        <v>1589260000</v>
      </c>
      <c r="H79" s="5">
        <v>699048000</v>
      </c>
      <c r="I79" s="5">
        <v>9</v>
      </c>
      <c r="J79" s="5">
        <v>13870</v>
      </c>
      <c r="L79" s="5">
        <v>1210</v>
      </c>
      <c r="M79" s="5">
        <f t="shared" si="3"/>
        <v>4000</v>
      </c>
      <c r="N79" s="5">
        <f t="shared" si="4"/>
        <v>605</v>
      </c>
      <c r="O79" s="5">
        <v>0</v>
      </c>
      <c r="P79" s="5" t="str">
        <f t="shared" si="2"/>
        <v/>
      </c>
    </row>
    <row r="80" spans="2:16" x14ac:dyDescent="0.4">
      <c r="B80" s="5">
        <v>75</v>
      </c>
      <c r="C80" s="5" t="s">
        <v>362</v>
      </c>
      <c r="D80" s="5">
        <v>3000</v>
      </c>
      <c r="E80" s="5" t="s">
        <v>363</v>
      </c>
      <c r="F80" s="5" t="s">
        <v>364</v>
      </c>
      <c r="G80" s="5">
        <v>1656660000</v>
      </c>
      <c r="H80" s="5">
        <v>714168000</v>
      </c>
      <c r="I80" s="5">
        <v>9</v>
      </c>
      <c r="J80" s="5">
        <v>14170</v>
      </c>
      <c r="L80" s="5">
        <v>1230</v>
      </c>
      <c r="M80" s="5">
        <f t="shared" si="3"/>
        <v>4000</v>
      </c>
      <c r="N80" s="5">
        <f t="shared" si="4"/>
        <v>615</v>
      </c>
      <c r="O80" s="5">
        <v>0</v>
      </c>
      <c r="P80" s="5" t="str">
        <f t="shared" si="2"/>
        <v/>
      </c>
    </row>
    <row r="81" spans="2:16" x14ac:dyDescent="0.4">
      <c r="B81" s="5">
        <v>76</v>
      </c>
      <c r="C81" s="5" t="s">
        <v>365</v>
      </c>
      <c r="D81" s="5">
        <v>3000</v>
      </c>
      <c r="E81" s="5" t="s">
        <v>366</v>
      </c>
      <c r="F81" s="5" t="s">
        <v>367</v>
      </c>
      <c r="G81" s="5">
        <v>1725680000</v>
      </c>
      <c r="H81" s="5">
        <v>729288000</v>
      </c>
      <c r="I81" s="5">
        <v>9</v>
      </c>
      <c r="J81" s="5">
        <v>14470</v>
      </c>
      <c r="L81" s="5">
        <v>1250</v>
      </c>
      <c r="M81" s="5">
        <f t="shared" si="3"/>
        <v>4000</v>
      </c>
      <c r="N81" s="5">
        <f t="shared" si="4"/>
        <v>625</v>
      </c>
      <c r="O81" s="5">
        <v>0</v>
      </c>
      <c r="P81" s="5">
        <f t="shared" si="2"/>
        <v>1</v>
      </c>
    </row>
    <row r="82" spans="2:16" x14ac:dyDescent="0.4">
      <c r="B82" s="5">
        <v>77</v>
      </c>
      <c r="C82" s="5" t="s">
        <v>368</v>
      </c>
      <c r="D82" s="5">
        <v>3000</v>
      </c>
      <c r="E82" s="5" t="s">
        <v>369</v>
      </c>
      <c r="F82" s="5" t="s">
        <v>370</v>
      </c>
      <c r="G82" s="5">
        <v>1796340000</v>
      </c>
      <c r="H82" s="5">
        <v>744408000</v>
      </c>
      <c r="I82" s="5">
        <v>9</v>
      </c>
      <c r="J82" s="5">
        <v>14770</v>
      </c>
      <c r="L82" s="5">
        <v>1270</v>
      </c>
      <c r="M82" s="5">
        <f t="shared" si="3"/>
        <v>4000</v>
      </c>
      <c r="N82" s="5">
        <f t="shared" si="4"/>
        <v>635</v>
      </c>
      <c r="O82" s="5">
        <v>0</v>
      </c>
      <c r="P82" s="5" t="str">
        <f t="shared" si="2"/>
        <v/>
      </c>
    </row>
    <row r="83" spans="2:16" x14ac:dyDescent="0.4">
      <c r="B83" s="5">
        <v>78</v>
      </c>
      <c r="C83" s="5" t="s">
        <v>371</v>
      </c>
      <c r="D83" s="5">
        <v>3000</v>
      </c>
      <c r="E83" s="5" t="s">
        <v>372</v>
      </c>
      <c r="F83" s="5" t="s">
        <v>373</v>
      </c>
      <c r="G83" s="5">
        <v>1868640000</v>
      </c>
      <c r="H83" s="5">
        <v>759528000</v>
      </c>
      <c r="I83" s="5">
        <v>9</v>
      </c>
      <c r="J83" s="5">
        <v>15070</v>
      </c>
      <c r="L83" s="5">
        <v>1290</v>
      </c>
      <c r="M83" s="5">
        <f t="shared" si="3"/>
        <v>4000</v>
      </c>
      <c r="N83" s="5">
        <f t="shared" si="4"/>
        <v>645</v>
      </c>
      <c r="O83" s="5">
        <v>0</v>
      </c>
      <c r="P83" s="5" t="str">
        <f t="shared" ref="P83:P113" si="5">IF(P80=1,1,"")</f>
        <v/>
      </c>
    </row>
    <row r="84" spans="2:16" x14ac:dyDescent="0.4">
      <c r="B84" s="5">
        <v>79</v>
      </c>
      <c r="C84" s="5" t="s">
        <v>374</v>
      </c>
      <c r="D84" s="5">
        <v>3000</v>
      </c>
      <c r="E84" s="5" t="s">
        <v>375</v>
      </c>
      <c r="F84" s="5" t="s">
        <v>376</v>
      </c>
      <c r="G84" s="5">
        <v>1942610000</v>
      </c>
      <c r="H84" s="5">
        <v>774648000</v>
      </c>
      <c r="I84" s="5">
        <v>9</v>
      </c>
      <c r="J84" s="5">
        <v>15370</v>
      </c>
      <c r="L84" s="5">
        <v>1310</v>
      </c>
      <c r="M84" s="5">
        <f t="shared" si="3"/>
        <v>4000</v>
      </c>
      <c r="N84" s="5">
        <f t="shared" si="4"/>
        <v>655</v>
      </c>
      <c r="O84" s="5">
        <v>0</v>
      </c>
      <c r="P84" s="5">
        <f t="shared" si="5"/>
        <v>1</v>
      </c>
    </row>
    <row r="85" spans="2:16" x14ac:dyDescent="0.4">
      <c r="B85" s="5">
        <v>80</v>
      </c>
      <c r="C85" s="5" t="s">
        <v>377</v>
      </c>
      <c r="D85" s="5">
        <v>3000</v>
      </c>
      <c r="E85" s="5" t="s">
        <v>378</v>
      </c>
      <c r="F85" s="5" t="s">
        <v>379</v>
      </c>
      <c r="G85" s="5">
        <v>2018250000</v>
      </c>
      <c r="H85" s="5">
        <v>789768000</v>
      </c>
      <c r="I85" s="5">
        <v>9</v>
      </c>
      <c r="J85" s="5">
        <v>15670</v>
      </c>
      <c r="L85" s="5">
        <v>1330</v>
      </c>
      <c r="M85" s="5">
        <f t="shared" si="3"/>
        <v>4000</v>
      </c>
      <c r="N85" s="5">
        <f t="shared" si="4"/>
        <v>665</v>
      </c>
      <c r="O85" s="5">
        <v>0</v>
      </c>
      <c r="P85" s="5" t="str">
        <f t="shared" si="5"/>
        <v/>
      </c>
    </row>
    <row r="86" spans="2:16" x14ac:dyDescent="0.4">
      <c r="B86" s="5">
        <v>81</v>
      </c>
      <c r="C86" s="5" t="s">
        <v>380</v>
      </c>
      <c r="D86" s="5">
        <v>3000</v>
      </c>
      <c r="E86" s="5" t="s">
        <v>381</v>
      </c>
      <c r="F86" s="5" t="s">
        <v>382</v>
      </c>
      <c r="G86" s="5">
        <v>2095580000</v>
      </c>
      <c r="H86" s="5">
        <v>804888000</v>
      </c>
      <c r="I86" s="5">
        <v>9</v>
      </c>
      <c r="J86" s="5">
        <v>15970</v>
      </c>
      <c r="L86" s="5">
        <v>1350</v>
      </c>
      <c r="M86" s="5">
        <f t="shared" si="3"/>
        <v>4000</v>
      </c>
      <c r="N86" s="5">
        <f t="shared" si="4"/>
        <v>675</v>
      </c>
      <c r="O86" s="5">
        <v>0</v>
      </c>
      <c r="P86" s="5" t="str">
        <f t="shared" si="5"/>
        <v/>
      </c>
    </row>
    <row r="87" spans="2:16" x14ac:dyDescent="0.4">
      <c r="B87" s="5">
        <v>82</v>
      </c>
      <c r="C87" s="5" t="s">
        <v>383</v>
      </c>
      <c r="D87" s="5">
        <v>3000</v>
      </c>
      <c r="E87" s="5" t="s">
        <v>384</v>
      </c>
      <c r="F87" s="5" t="s">
        <v>385</v>
      </c>
      <c r="G87" s="5">
        <v>2095580000</v>
      </c>
      <c r="H87" s="5">
        <v>820008000</v>
      </c>
      <c r="I87" s="5">
        <v>9</v>
      </c>
      <c r="J87" s="5">
        <v>16270</v>
      </c>
      <c r="L87" s="5">
        <v>1370</v>
      </c>
      <c r="M87" s="5">
        <f t="shared" si="3"/>
        <v>4000</v>
      </c>
      <c r="N87" s="5">
        <f t="shared" si="4"/>
        <v>685</v>
      </c>
      <c r="O87" s="5">
        <v>0</v>
      </c>
      <c r="P87" s="5">
        <f t="shared" si="5"/>
        <v>1</v>
      </c>
    </row>
    <row r="88" spans="2:16" x14ac:dyDescent="0.4">
      <c r="B88" s="5">
        <v>83</v>
      </c>
      <c r="C88" s="5" t="s">
        <v>386</v>
      </c>
      <c r="D88" s="5">
        <v>3000</v>
      </c>
      <c r="E88" s="5" t="s">
        <v>387</v>
      </c>
      <c r="F88" s="5" t="s">
        <v>388</v>
      </c>
      <c r="G88" s="5">
        <f>G87</f>
        <v>2095580000</v>
      </c>
      <c r="H88" s="5">
        <v>835128000</v>
      </c>
      <c r="I88" s="5">
        <v>9</v>
      </c>
      <c r="J88" s="5">
        <v>16570</v>
      </c>
      <c r="L88" s="5">
        <v>1390</v>
      </c>
      <c r="M88" s="5">
        <f t="shared" si="3"/>
        <v>4000</v>
      </c>
      <c r="N88" s="5">
        <f t="shared" si="4"/>
        <v>695</v>
      </c>
      <c r="O88" s="5">
        <v>0</v>
      </c>
      <c r="P88" s="5" t="str">
        <f t="shared" si="5"/>
        <v/>
      </c>
    </row>
    <row r="89" spans="2:16" x14ac:dyDescent="0.4">
      <c r="B89" s="5">
        <v>84</v>
      </c>
      <c r="C89" s="5" t="s">
        <v>389</v>
      </c>
      <c r="D89" s="5">
        <v>3000</v>
      </c>
      <c r="E89" s="5" t="s">
        <v>390</v>
      </c>
      <c r="F89" s="5" t="s">
        <v>391</v>
      </c>
      <c r="G89" s="5">
        <f t="shared" ref="G89:G113" si="6">G88</f>
        <v>2095580000</v>
      </c>
      <c r="H89" s="5">
        <v>850248000</v>
      </c>
      <c r="I89" s="5">
        <v>9</v>
      </c>
      <c r="J89" s="5">
        <v>16870</v>
      </c>
      <c r="L89" s="5">
        <v>1410</v>
      </c>
      <c r="M89" s="5">
        <f t="shared" si="3"/>
        <v>4000</v>
      </c>
      <c r="N89" s="5">
        <f t="shared" si="4"/>
        <v>705</v>
      </c>
      <c r="O89" s="5">
        <v>0</v>
      </c>
      <c r="P89" s="5" t="str">
        <f t="shared" si="5"/>
        <v/>
      </c>
    </row>
    <row r="90" spans="2:16" x14ac:dyDescent="0.4">
      <c r="B90" s="5">
        <v>85</v>
      </c>
      <c r="C90" s="5" t="s">
        <v>392</v>
      </c>
      <c r="D90" s="5">
        <v>3000</v>
      </c>
      <c r="E90" s="5" t="s">
        <v>393</v>
      </c>
      <c r="F90" s="5" t="s">
        <v>394</v>
      </c>
      <c r="G90" s="5">
        <f t="shared" si="6"/>
        <v>2095580000</v>
      </c>
      <c r="H90" s="5">
        <v>865368000</v>
      </c>
      <c r="I90" s="5">
        <v>9</v>
      </c>
      <c r="J90" s="5">
        <v>17170</v>
      </c>
      <c r="L90" s="5">
        <v>1430</v>
      </c>
      <c r="M90" s="5">
        <f t="shared" si="3"/>
        <v>4000</v>
      </c>
      <c r="N90" s="5">
        <f t="shared" si="4"/>
        <v>715</v>
      </c>
      <c r="O90" s="5">
        <v>0</v>
      </c>
      <c r="P90" s="5">
        <f t="shared" si="5"/>
        <v>1</v>
      </c>
    </row>
    <row r="91" spans="2:16" x14ac:dyDescent="0.4">
      <c r="B91" s="5">
        <v>86</v>
      </c>
      <c r="C91" s="5" t="s">
        <v>395</v>
      </c>
      <c r="D91" s="5">
        <v>3000</v>
      </c>
      <c r="E91" s="5" t="s">
        <v>396</v>
      </c>
      <c r="F91" s="5" t="s">
        <v>397</v>
      </c>
      <c r="G91" s="5">
        <f t="shared" si="6"/>
        <v>2095580000</v>
      </c>
      <c r="H91" s="5">
        <v>880488000</v>
      </c>
      <c r="I91" s="5">
        <v>9</v>
      </c>
      <c r="J91" s="5">
        <v>17470</v>
      </c>
      <c r="L91" s="5">
        <v>1450</v>
      </c>
      <c r="M91" s="5">
        <f t="shared" si="3"/>
        <v>4000</v>
      </c>
      <c r="N91" s="5">
        <f t="shared" si="4"/>
        <v>725</v>
      </c>
      <c r="O91" s="5">
        <v>0</v>
      </c>
      <c r="P91" s="5" t="str">
        <f t="shared" si="5"/>
        <v/>
      </c>
    </row>
    <row r="92" spans="2:16" x14ac:dyDescent="0.4">
      <c r="B92" s="5">
        <v>87</v>
      </c>
      <c r="C92" s="5" t="s">
        <v>398</v>
      </c>
      <c r="D92" s="5">
        <v>3000</v>
      </c>
      <c r="E92" s="5" t="s">
        <v>399</v>
      </c>
      <c r="F92" s="5" t="s">
        <v>400</v>
      </c>
      <c r="G92" s="5">
        <f t="shared" si="6"/>
        <v>2095580000</v>
      </c>
      <c r="H92" s="5">
        <v>895608000</v>
      </c>
      <c r="I92" s="5">
        <v>9</v>
      </c>
      <c r="J92" s="5">
        <v>17770</v>
      </c>
      <c r="L92" s="5">
        <v>1470</v>
      </c>
      <c r="M92" s="5">
        <f t="shared" si="3"/>
        <v>4000</v>
      </c>
      <c r="N92" s="5">
        <f t="shared" si="4"/>
        <v>735</v>
      </c>
      <c r="O92" s="5">
        <v>0</v>
      </c>
      <c r="P92" s="5" t="str">
        <f t="shared" si="5"/>
        <v/>
      </c>
    </row>
    <row r="93" spans="2:16" x14ac:dyDescent="0.4">
      <c r="B93" s="5">
        <v>88</v>
      </c>
      <c r="C93" s="5" t="s">
        <v>401</v>
      </c>
      <c r="D93" s="5">
        <v>3000</v>
      </c>
      <c r="E93" s="5" t="s">
        <v>402</v>
      </c>
      <c r="F93" s="5" t="s">
        <v>403</v>
      </c>
      <c r="G93" s="5">
        <f t="shared" si="6"/>
        <v>2095580000</v>
      </c>
      <c r="H93" s="5">
        <v>910728000</v>
      </c>
      <c r="I93" s="5">
        <v>9</v>
      </c>
      <c r="J93" s="5">
        <v>18070</v>
      </c>
      <c r="L93" s="5">
        <v>1490</v>
      </c>
      <c r="M93" s="5">
        <f t="shared" si="3"/>
        <v>4000</v>
      </c>
      <c r="N93" s="5">
        <f t="shared" si="4"/>
        <v>745</v>
      </c>
      <c r="O93" s="5">
        <v>0</v>
      </c>
      <c r="P93" s="5">
        <f t="shared" si="5"/>
        <v>1</v>
      </c>
    </row>
    <row r="94" spans="2:16" x14ac:dyDescent="0.4">
      <c r="B94" s="5">
        <v>89</v>
      </c>
      <c r="C94" s="5" t="s">
        <v>404</v>
      </c>
      <c r="D94" s="5">
        <v>3000</v>
      </c>
      <c r="E94" s="5" t="s">
        <v>405</v>
      </c>
      <c r="F94" s="5" t="s">
        <v>406</v>
      </c>
      <c r="G94" s="5">
        <f t="shared" si="6"/>
        <v>2095580000</v>
      </c>
      <c r="H94" s="5">
        <v>925848000</v>
      </c>
      <c r="I94" s="5">
        <v>9</v>
      </c>
      <c r="J94" s="5">
        <v>18370</v>
      </c>
      <c r="L94" s="5">
        <v>1510</v>
      </c>
      <c r="M94" s="5">
        <f t="shared" si="3"/>
        <v>4000</v>
      </c>
      <c r="N94" s="5">
        <f t="shared" si="4"/>
        <v>755</v>
      </c>
      <c r="O94" s="5">
        <v>0</v>
      </c>
      <c r="P94" s="5" t="str">
        <f t="shared" si="5"/>
        <v/>
      </c>
    </row>
    <row r="95" spans="2:16" x14ac:dyDescent="0.4">
      <c r="B95" s="5">
        <v>90</v>
      </c>
      <c r="C95" s="5" t="s">
        <v>407</v>
      </c>
      <c r="D95" s="5">
        <v>3000</v>
      </c>
      <c r="E95" s="5" t="s">
        <v>408</v>
      </c>
      <c r="F95" s="5" t="s">
        <v>409</v>
      </c>
      <c r="G95" s="5">
        <f t="shared" si="6"/>
        <v>2095580000</v>
      </c>
      <c r="H95" s="5">
        <v>940968000</v>
      </c>
      <c r="I95" s="5">
        <v>9</v>
      </c>
      <c r="J95" s="5">
        <v>18670</v>
      </c>
      <c r="L95" s="5">
        <v>1530</v>
      </c>
      <c r="M95" s="5">
        <f t="shared" si="3"/>
        <v>4000</v>
      </c>
      <c r="N95" s="5">
        <f t="shared" si="4"/>
        <v>765</v>
      </c>
      <c r="O95" s="5">
        <v>0</v>
      </c>
      <c r="P95" s="5" t="str">
        <f t="shared" si="5"/>
        <v/>
      </c>
    </row>
    <row r="96" spans="2:16" x14ac:dyDescent="0.4">
      <c r="B96" s="5">
        <v>91</v>
      </c>
      <c r="C96" s="5" t="s">
        <v>410</v>
      </c>
      <c r="D96" s="5">
        <v>3000</v>
      </c>
      <c r="E96" s="5" t="s">
        <v>411</v>
      </c>
      <c r="F96" s="5" t="s">
        <v>412</v>
      </c>
      <c r="G96" s="5">
        <f t="shared" si="6"/>
        <v>2095580000</v>
      </c>
      <c r="H96" s="5">
        <v>956088000</v>
      </c>
      <c r="I96" s="5">
        <v>9</v>
      </c>
      <c r="J96" s="5">
        <v>18970</v>
      </c>
      <c r="L96" s="5">
        <v>1550</v>
      </c>
      <c r="M96" s="5">
        <f t="shared" si="3"/>
        <v>4000</v>
      </c>
      <c r="N96" s="5">
        <f t="shared" si="4"/>
        <v>775</v>
      </c>
      <c r="O96" s="5">
        <v>0</v>
      </c>
      <c r="P96" s="5">
        <f t="shared" si="5"/>
        <v>1</v>
      </c>
    </row>
    <row r="97" spans="2:16" x14ac:dyDescent="0.4">
      <c r="B97" s="5">
        <v>92</v>
      </c>
      <c r="C97" s="5" t="s">
        <v>413</v>
      </c>
      <c r="D97" s="5">
        <v>3000</v>
      </c>
      <c r="E97" s="5" t="s">
        <v>414</v>
      </c>
      <c r="F97" s="5" t="s">
        <v>415</v>
      </c>
      <c r="G97" s="5">
        <f t="shared" si="6"/>
        <v>2095580000</v>
      </c>
      <c r="H97" s="5">
        <v>971208000</v>
      </c>
      <c r="I97" s="5">
        <v>9</v>
      </c>
      <c r="J97" s="5">
        <v>19270</v>
      </c>
      <c r="L97" s="5">
        <v>1570</v>
      </c>
      <c r="M97" s="5">
        <f t="shared" si="3"/>
        <v>4000</v>
      </c>
      <c r="N97" s="5">
        <f t="shared" si="4"/>
        <v>785</v>
      </c>
      <c r="O97" s="5">
        <v>0</v>
      </c>
      <c r="P97" s="5" t="str">
        <f t="shared" si="5"/>
        <v/>
      </c>
    </row>
    <row r="98" spans="2:16" x14ac:dyDescent="0.4">
      <c r="B98" s="5">
        <v>93</v>
      </c>
      <c r="C98" s="5" t="s">
        <v>416</v>
      </c>
      <c r="D98" s="5">
        <v>3000</v>
      </c>
      <c r="E98" s="5" t="s">
        <v>417</v>
      </c>
      <c r="F98" s="5" t="s">
        <v>418</v>
      </c>
      <c r="G98" s="5">
        <f t="shared" si="6"/>
        <v>2095580000</v>
      </c>
      <c r="H98" s="5">
        <v>986328000</v>
      </c>
      <c r="I98" s="5">
        <v>9</v>
      </c>
      <c r="J98" s="5">
        <v>19570</v>
      </c>
      <c r="L98" s="5">
        <v>1590</v>
      </c>
      <c r="M98" s="5">
        <f t="shared" si="3"/>
        <v>4000</v>
      </c>
      <c r="N98" s="5">
        <f t="shared" si="4"/>
        <v>795</v>
      </c>
      <c r="O98" s="5">
        <v>0</v>
      </c>
      <c r="P98" s="5" t="str">
        <f t="shared" si="5"/>
        <v/>
      </c>
    </row>
    <row r="99" spans="2:16" x14ac:dyDescent="0.4">
      <c r="B99" s="5">
        <v>94</v>
      </c>
      <c r="C99" s="5" t="s">
        <v>419</v>
      </c>
      <c r="D99" s="5">
        <v>3000</v>
      </c>
      <c r="E99" s="5" t="s">
        <v>420</v>
      </c>
      <c r="F99" s="5" t="s">
        <v>421</v>
      </c>
      <c r="G99" s="5">
        <f t="shared" si="6"/>
        <v>2095580000</v>
      </c>
      <c r="H99" s="5">
        <v>1001448000</v>
      </c>
      <c r="I99" s="5">
        <v>9</v>
      </c>
      <c r="J99" s="5">
        <v>19870</v>
      </c>
      <c r="L99" s="5">
        <v>1610</v>
      </c>
      <c r="M99" s="5">
        <f t="shared" si="3"/>
        <v>4000</v>
      </c>
      <c r="N99" s="5">
        <f t="shared" si="4"/>
        <v>805</v>
      </c>
      <c r="O99" s="5">
        <v>0</v>
      </c>
      <c r="P99" s="5">
        <f t="shared" si="5"/>
        <v>1</v>
      </c>
    </row>
    <row r="100" spans="2:16" x14ac:dyDescent="0.4">
      <c r="B100" s="5">
        <v>95</v>
      </c>
      <c r="C100" s="5" t="s">
        <v>422</v>
      </c>
      <c r="D100" s="5">
        <v>3000</v>
      </c>
      <c r="E100" s="5" t="s">
        <v>423</v>
      </c>
      <c r="F100" s="5" t="s">
        <v>424</v>
      </c>
      <c r="G100" s="5">
        <f t="shared" si="6"/>
        <v>2095580000</v>
      </c>
      <c r="H100" s="5">
        <v>1016568000</v>
      </c>
      <c r="I100" s="5">
        <v>9</v>
      </c>
      <c r="J100" s="5">
        <v>20170</v>
      </c>
      <c r="L100" s="5">
        <v>1630</v>
      </c>
      <c r="M100" s="5">
        <f t="shared" si="3"/>
        <v>4000</v>
      </c>
      <c r="N100" s="5">
        <f t="shared" si="4"/>
        <v>815</v>
      </c>
      <c r="O100" s="5">
        <v>0</v>
      </c>
      <c r="P100" s="5" t="str">
        <f t="shared" si="5"/>
        <v/>
      </c>
    </row>
    <row r="101" spans="2:16" x14ac:dyDescent="0.4">
      <c r="B101" s="5">
        <v>96</v>
      </c>
      <c r="C101" s="5" t="s">
        <v>425</v>
      </c>
      <c r="D101" s="5">
        <v>3000</v>
      </c>
      <c r="E101" s="5" t="s">
        <v>426</v>
      </c>
      <c r="F101" s="5" t="s">
        <v>427</v>
      </c>
      <c r="G101" s="5">
        <f t="shared" si="6"/>
        <v>2095580000</v>
      </c>
      <c r="H101" s="5">
        <v>1031688000</v>
      </c>
      <c r="I101" s="5">
        <v>9</v>
      </c>
      <c r="J101" s="5">
        <v>20470</v>
      </c>
      <c r="L101" s="5">
        <v>1650</v>
      </c>
      <c r="M101" s="5">
        <f t="shared" si="3"/>
        <v>4000</v>
      </c>
      <c r="N101" s="5">
        <f t="shared" si="4"/>
        <v>825</v>
      </c>
      <c r="O101" s="5">
        <v>0</v>
      </c>
      <c r="P101" s="5" t="str">
        <f t="shared" si="5"/>
        <v/>
      </c>
    </row>
    <row r="102" spans="2:16" x14ac:dyDescent="0.4">
      <c r="B102" s="5">
        <v>97</v>
      </c>
      <c r="C102" s="5" t="s">
        <v>428</v>
      </c>
      <c r="D102" s="5">
        <v>3000</v>
      </c>
      <c r="E102" s="5" t="s">
        <v>429</v>
      </c>
      <c r="F102" s="5" t="s">
        <v>430</v>
      </c>
      <c r="G102" s="5">
        <f t="shared" si="6"/>
        <v>2095580000</v>
      </c>
      <c r="H102" s="5">
        <v>1046808000</v>
      </c>
      <c r="I102" s="5">
        <v>9</v>
      </c>
      <c r="J102" s="5">
        <v>20770</v>
      </c>
      <c r="L102" s="5">
        <v>1670</v>
      </c>
      <c r="M102" s="5">
        <f t="shared" si="3"/>
        <v>4000</v>
      </c>
      <c r="N102" s="5">
        <f t="shared" si="4"/>
        <v>835</v>
      </c>
      <c r="O102" s="5">
        <v>0</v>
      </c>
      <c r="P102" s="5">
        <f t="shared" si="5"/>
        <v>1</v>
      </c>
    </row>
    <row r="103" spans="2:16" x14ac:dyDescent="0.4">
      <c r="B103" s="5">
        <v>98</v>
      </c>
      <c r="C103" s="5" t="s">
        <v>431</v>
      </c>
      <c r="D103" s="5">
        <v>3000</v>
      </c>
      <c r="E103" s="5" t="s">
        <v>432</v>
      </c>
      <c r="F103" s="5" t="s">
        <v>433</v>
      </c>
      <c r="G103" s="5">
        <f t="shared" si="6"/>
        <v>2095580000</v>
      </c>
      <c r="H103" s="5">
        <v>1061928000</v>
      </c>
      <c r="I103" s="5">
        <v>9</v>
      </c>
      <c r="J103" s="5">
        <v>21070</v>
      </c>
      <c r="L103" s="5">
        <v>1690</v>
      </c>
      <c r="M103" s="5">
        <f t="shared" si="3"/>
        <v>4000</v>
      </c>
      <c r="N103" s="5">
        <f t="shared" si="4"/>
        <v>845</v>
      </c>
      <c r="O103" s="5">
        <v>0</v>
      </c>
      <c r="P103" s="5" t="str">
        <f t="shared" si="5"/>
        <v/>
      </c>
    </row>
    <row r="104" spans="2:16" x14ac:dyDescent="0.4">
      <c r="B104" s="5">
        <v>99</v>
      </c>
      <c r="C104" s="5" t="s">
        <v>434</v>
      </c>
      <c r="D104" s="5">
        <v>3000</v>
      </c>
      <c r="E104" s="5" t="s">
        <v>435</v>
      </c>
      <c r="F104" s="5" t="s">
        <v>436</v>
      </c>
      <c r="G104" s="5">
        <f t="shared" si="6"/>
        <v>2095580000</v>
      </c>
      <c r="H104" s="5">
        <v>1077048000</v>
      </c>
      <c r="I104" s="5">
        <v>9</v>
      </c>
      <c r="J104" s="5">
        <v>21370</v>
      </c>
      <c r="L104" s="5">
        <v>1710</v>
      </c>
      <c r="M104" s="5">
        <f t="shared" si="3"/>
        <v>4000</v>
      </c>
      <c r="N104" s="5">
        <f t="shared" si="4"/>
        <v>855</v>
      </c>
      <c r="O104" s="5">
        <v>0</v>
      </c>
      <c r="P104" s="5" t="str">
        <f t="shared" si="5"/>
        <v/>
      </c>
    </row>
    <row r="105" spans="2:16" x14ac:dyDescent="0.4">
      <c r="B105" s="5">
        <v>100</v>
      </c>
      <c r="C105" s="5" t="s">
        <v>437</v>
      </c>
      <c r="D105" s="5">
        <v>3000</v>
      </c>
      <c r="E105" s="5" t="s">
        <v>438</v>
      </c>
      <c r="F105" s="5" t="s">
        <v>439</v>
      </c>
      <c r="G105" s="5">
        <f t="shared" si="6"/>
        <v>2095580000</v>
      </c>
      <c r="H105" s="5">
        <v>1092168000</v>
      </c>
      <c r="I105" s="5">
        <v>9</v>
      </c>
      <c r="J105" s="5">
        <v>21670</v>
      </c>
      <c r="L105" s="5">
        <v>1730</v>
      </c>
      <c r="M105" s="5">
        <f t="shared" si="3"/>
        <v>4000</v>
      </c>
      <c r="N105" s="5">
        <f t="shared" si="4"/>
        <v>865</v>
      </c>
      <c r="O105" s="5">
        <v>0</v>
      </c>
      <c r="P105" s="5">
        <f t="shared" si="5"/>
        <v>1</v>
      </c>
    </row>
    <row r="106" spans="2:16" x14ac:dyDescent="0.4">
      <c r="B106" s="5">
        <v>101</v>
      </c>
      <c r="C106" s="5" t="s">
        <v>440</v>
      </c>
      <c r="D106" s="5">
        <v>3000</v>
      </c>
      <c r="E106" s="5" t="s">
        <v>441</v>
      </c>
      <c r="F106" s="5" t="s">
        <v>442</v>
      </c>
      <c r="G106" s="5">
        <f t="shared" si="6"/>
        <v>2095580000</v>
      </c>
      <c r="H106" s="5">
        <v>1107288000</v>
      </c>
      <c r="I106" s="5">
        <v>9</v>
      </c>
      <c r="J106" s="5">
        <v>21970</v>
      </c>
      <c r="L106" s="5">
        <v>1750</v>
      </c>
      <c r="M106" s="5">
        <f t="shared" si="3"/>
        <v>4000</v>
      </c>
      <c r="N106" s="5">
        <f t="shared" si="4"/>
        <v>875</v>
      </c>
      <c r="O106" s="5">
        <v>0</v>
      </c>
      <c r="P106" s="5" t="str">
        <f t="shared" si="5"/>
        <v/>
      </c>
    </row>
    <row r="107" spans="2:16" x14ac:dyDescent="0.4">
      <c r="B107" s="5">
        <v>102</v>
      </c>
      <c r="C107" s="5" t="s">
        <v>443</v>
      </c>
      <c r="D107" s="5">
        <v>3000</v>
      </c>
      <c r="E107" s="5" t="s">
        <v>444</v>
      </c>
      <c r="F107" s="5" t="s">
        <v>445</v>
      </c>
      <c r="G107" s="5">
        <f t="shared" si="6"/>
        <v>2095580000</v>
      </c>
      <c r="H107" s="5">
        <v>1122408000</v>
      </c>
      <c r="I107" s="5">
        <v>9</v>
      </c>
      <c r="J107" s="5">
        <v>22270</v>
      </c>
      <c r="L107" s="5">
        <v>1770</v>
      </c>
      <c r="M107" s="5">
        <f t="shared" si="3"/>
        <v>4000</v>
      </c>
      <c r="N107" s="5">
        <f t="shared" si="4"/>
        <v>885</v>
      </c>
      <c r="O107" s="5">
        <v>0</v>
      </c>
      <c r="P107" s="5" t="str">
        <f t="shared" si="5"/>
        <v/>
      </c>
    </row>
    <row r="108" spans="2:16" x14ac:dyDescent="0.4">
      <c r="B108" s="5">
        <v>103</v>
      </c>
      <c r="C108" s="5" t="s">
        <v>446</v>
      </c>
      <c r="D108" s="5">
        <v>3000</v>
      </c>
      <c r="E108" s="5" t="s">
        <v>447</v>
      </c>
      <c r="F108" s="5" t="s">
        <v>448</v>
      </c>
      <c r="G108" s="5">
        <f t="shared" si="6"/>
        <v>2095580000</v>
      </c>
      <c r="H108" s="5">
        <v>1137528000</v>
      </c>
      <c r="I108" s="5">
        <v>9</v>
      </c>
      <c r="J108" s="5">
        <v>22570</v>
      </c>
      <c r="L108" s="5">
        <v>1790</v>
      </c>
      <c r="M108" s="5">
        <f t="shared" si="3"/>
        <v>4000</v>
      </c>
      <c r="N108" s="5">
        <f t="shared" si="4"/>
        <v>895</v>
      </c>
      <c r="O108" s="5">
        <v>0</v>
      </c>
      <c r="P108" s="5">
        <f t="shared" si="5"/>
        <v>1</v>
      </c>
    </row>
    <row r="109" spans="2:16" x14ac:dyDescent="0.4">
      <c r="B109" s="5">
        <v>104</v>
      </c>
      <c r="C109" s="5" t="s">
        <v>449</v>
      </c>
      <c r="D109" s="5">
        <v>3000</v>
      </c>
      <c r="E109" s="5" t="s">
        <v>450</v>
      </c>
      <c r="F109" s="5" t="s">
        <v>451</v>
      </c>
      <c r="G109" s="5">
        <f t="shared" si="6"/>
        <v>2095580000</v>
      </c>
      <c r="H109" s="5">
        <v>1152648000</v>
      </c>
      <c r="I109" s="5">
        <v>9</v>
      </c>
      <c r="J109" s="5">
        <v>22870</v>
      </c>
      <c r="L109" s="5">
        <v>1810</v>
      </c>
      <c r="M109" s="5">
        <f t="shared" si="3"/>
        <v>4000</v>
      </c>
      <c r="N109" s="5">
        <f t="shared" si="4"/>
        <v>905</v>
      </c>
      <c r="O109" s="5">
        <v>0</v>
      </c>
      <c r="P109" s="5" t="str">
        <f t="shared" si="5"/>
        <v/>
      </c>
    </row>
    <row r="110" spans="2:16" x14ac:dyDescent="0.4">
      <c r="B110" s="5">
        <v>105</v>
      </c>
      <c r="C110" s="5" t="s">
        <v>452</v>
      </c>
      <c r="D110" s="5">
        <v>3000</v>
      </c>
      <c r="E110" s="5" t="s">
        <v>453</v>
      </c>
      <c r="F110" s="5" t="s">
        <v>454</v>
      </c>
      <c r="G110" s="5">
        <f t="shared" si="6"/>
        <v>2095580000</v>
      </c>
      <c r="H110" s="5">
        <v>1167768000</v>
      </c>
      <c r="I110" s="5">
        <v>9</v>
      </c>
      <c r="J110" s="5">
        <v>23170</v>
      </c>
      <c r="L110" s="5">
        <v>1830</v>
      </c>
      <c r="M110" s="5">
        <f t="shared" si="3"/>
        <v>4000</v>
      </c>
      <c r="N110" s="5">
        <f t="shared" si="4"/>
        <v>915</v>
      </c>
      <c r="O110" s="5">
        <v>0</v>
      </c>
      <c r="P110" s="5" t="str">
        <f t="shared" si="5"/>
        <v/>
      </c>
    </row>
    <row r="111" spans="2:16" x14ac:dyDescent="0.4">
      <c r="B111" s="5">
        <v>106</v>
      </c>
      <c r="C111" s="5" t="s">
        <v>455</v>
      </c>
      <c r="D111" s="5">
        <v>3000</v>
      </c>
      <c r="E111" s="5" t="s">
        <v>456</v>
      </c>
      <c r="F111" s="5" t="s">
        <v>457</v>
      </c>
      <c r="G111" s="5">
        <f t="shared" si="6"/>
        <v>2095580000</v>
      </c>
      <c r="H111" s="5">
        <v>1182888000</v>
      </c>
      <c r="I111" s="5">
        <v>9</v>
      </c>
      <c r="J111" s="5">
        <v>23470</v>
      </c>
      <c r="L111" s="5">
        <v>1850</v>
      </c>
      <c r="M111" s="5">
        <f t="shared" si="3"/>
        <v>4000</v>
      </c>
      <c r="N111" s="5">
        <f t="shared" si="4"/>
        <v>925</v>
      </c>
      <c r="O111" s="5">
        <v>0</v>
      </c>
      <c r="P111" s="5">
        <f t="shared" si="5"/>
        <v>1</v>
      </c>
    </row>
    <row r="112" spans="2:16" x14ac:dyDescent="0.4">
      <c r="B112" s="5">
        <v>107</v>
      </c>
      <c r="C112" s="5" t="s">
        <v>458</v>
      </c>
      <c r="D112" s="5">
        <v>3000</v>
      </c>
      <c r="E112" s="5" t="s">
        <v>459</v>
      </c>
      <c r="F112" s="5" t="s">
        <v>460</v>
      </c>
      <c r="G112" s="5">
        <f t="shared" si="6"/>
        <v>2095580000</v>
      </c>
      <c r="H112" s="5">
        <v>1198008000</v>
      </c>
      <c r="I112" s="5">
        <v>9</v>
      </c>
      <c r="J112" s="5">
        <v>23770</v>
      </c>
      <c r="L112" s="5">
        <v>1870</v>
      </c>
      <c r="M112" s="5">
        <f t="shared" si="3"/>
        <v>4000</v>
      </c>
      <c r="N112" s="5">
        <f t="shared" si="4"/>
        <v>935</v>
      </c>
      <c r="O112" s="5">
        <v>0</v>
      </c>
      <c r="P112" s="5" t="str">
        <f t="shared" si="5"/>
        <v/>
      </c>
    </row>
    <row r="113" spans="2:16" x14ac:dyDescent="0.4">
      <c r="B113" s="5">
        <v>108</v>
      </c>
      <c r="C113" s="5" t="s">
        <v>461</v>
      </c>
      <c r="D113" s="5">
        <v>3000</v>
      </c>
      <c r="E113" s="5" t="s">
        <v>462</v>
      </c>
      <c r="F113" s="5" t="s">
        <v>463</v>
      </c>
      <c r="G113" s="5">
        <f t="shared" si="6"/>
        <v>2095580000</v>
      </c>
      <c r="H113" s="5">
        <v>1213128000</v>
      </c>
      <c r="I113" s="5">
        <v>9</v>
      </c>
      <c r="J113" s="5">
        <v>24070</v>
      </c>
      <c r="L113" s="5">
        <v>1890</v>
      </c>
      <c r="M113" s="5">
        <f t="shared" si="3"/>
        <v>4000</v>
      </c>
      <c r="N113" s="5">
        <f t="shared" si="4"/>
        <v>945</v>
      </c>
      <c r="O113" s="5">
        <v>0</v>
      </c>
      <c r="P113" s="5" t="str">
        <f t="shared" si="5"/>
        <v/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3"/>
  <sheetViews>
    <sheetView tabSelected="1" topLeftCell="A25" workbookViewId="0">
      <selection activeCell="I39" sqref="I39"/>
    </sheetView>
  </sheetViews>
  <sheetFormatPr defaultColWidth="9" defaultRowHeight="13.9" x14ac:dyDescent="0.4"/>
  <cols>
    <col min="1" max="2" width="9" style="4"/>
    <col min="3" max="3" width="23.796875" style="4" customWidth="1"/>
    <col min="4" max="5" width="13.46484375" style="4" customWidth="1"/>
    <col min="6" max="6" width="17.46484375" style="4" customWidth="1"/>
    <col min="7" max="7" width="14.1328125" style="4" customWidth="1"/>
    <col min="8" max="8" width="10.73046875" style="4" customWidth="1"/>
    <col min="9" max="9" width="22.73046875" style="4" customWidth="1"/>
    <col min="10" max="10" width="31.46484375" style="4" customWidth="1"/>
    <col min="11" max="11" width="24.3984375" style="4" customWidth="1"/>
    <col min="12" max="12" width="13.3984375" style="4" customWidth="1"/>
    <col min="13" max="16384" width="9" style="4"/>
  </cols>
  <sheetData>
    <row r="1" spans="1:12" s="3" customFormat="1" x14ac:dyDescent="0.4">
      <c r="A1" s="1" t="s">
        <v>0</v>
      </c>
      <c r="B1" s="8" t="s">
        <v>1</v>
      </c>
      <c r="C1" s="3" t="s">
        <v>2</v>
      </c>
      <c r="D1" s="3" t="s">
        <v>464</v>
      </c>
      <c r="E1" s="3" t="s">
        <v>465</v>
      </c>
      <c r="F1" s="3" t="s">
        <v>466</v>
      </c>
      <c r="G1" s="3" t="s">
        <v>467</v>
      </c>
      <c r="H1" s="3" t="s">
        <v>468</v>
      </c>
      <c r="I1" s="4" t="s">
        <v>469</v>
      </c>
      <c r="J1" s="3" t="s">
        <v>470</v>
      </c>
      <c r="K1" s="7" t="s">
        <v>471</v>
      </c>
      <c r="L1" s="3" t="s">
        <v>472</v>
      </c>
    </row>
    <row r="2" spans="1:12" s="3" customFormat="1" x14ac:dyDescent="0.4">
      <c r="A2" s="1" t="s">
        <v>0</v>
      </c>
      <c r="I2" s="4"/>
    </row>
    <row r="3" spans="1:12" s="3" customFormat="1" x14ac:dyDescent="0.4">
      <c r="A3" s="6" t="s">
        <v>9</v>
      </c>
      <c r="B3" s="3" t="s">
        <v>10</v>
      </c>
      <c r="C3" s="3" t="s">
        <v>11</v>
      </c>
      <c r="D3" s="3" t="s">
        <v>10</v>
      </c>
      <c r="E3" s="3" t="s">
        <v>10</v>
      </c>
      <c r="F3" s="3" t="s">
        <v>473</v>
      </c>
      <c r="G3" s="3" t="s">
        <v>10</v>
      </c>
      <c r="H3" s="3" t="s">
        <v>10</v>
      </c>
      <c r="I3" s="7" t="s">
        <v>120</v>
      </c>
      <c r="J3" s="3" t="s">
        <v>11</v>
      </c>
      <c r="K3" s="3" t="s">
        <v>11</v>
      </c>
      <c r="L3" s="3" t="s">
        <v>11</v>
      </c>
    </row>
    <row r="4" spans="1:12" s="3" customFormat="1" x14ac:dyDescent="0.4">
      <c r="A4" s="6" t="s">
        <v>14</v>
      </c>
      <c r="G4" s="3" t="s">
        <v>474</v>
      </c>
      <c r="H4" s="3" t="s">
        <v>123</v>
      </c>
      <c r="I4" s="4"/>
    </row>
    <row r="5" spans="1:12" s="3" customFormat="1" x14ac:dyDescent="0.4">
      <c r="A5" s="1" t="s">
        <v>15</v>
      </c>
      <c r="B5" s="3" t="s">
        <v>1</v>
      </c>
      <c r="C5" s="3" t="s">
        <v>21</v>
      </c>
      <c r="D5" s="3" t="s">
        <v>475</v>
      </c>
      <c r="E5" s="3" t="s">
        <v>476</v>
      </c>
      <c r="F5" s="3" t="s">
        <v>17</v>
      </c>
      <c r="G5" s="3" t="s">
        <v>477</v>
      </c>
      <c r="H5" s="3" t="s">
        <v>478</v>
      </c>
      <c r="I5" s="4" t="s">
        <v>479</v>
      </c>
      <c r="J5" s="3" t="s">
        <v>480</v>
      </c>
      <c r="K5" s="3" t="s">
        <v>481</v>
      </c>
      <c r="L5" s="3" t="s">
        <v>482</v>
      </c>
    </row>
    <row r="6" spans="1:12" s="3" customFormat="1" x14ac:dyDescent="0.4">
      <c r="B6" s="10">
        <v>20001</v>
      </c>
      <c r="C6" s="10" t="s">
        <v>483</v>
      </c>
      <c r="D6" s="10">
        <v>1</v>
      </c>
      <c r="E6" s="3">
        <v>1</v>
      </c>
      <c r="F6" s="11" t="s">
        <v>484</v>
      </c>
      <c r="G6" s="3">
        <v>100100</v>
      </c>
      <c r="H6" s="3">
        <v>0</v>
      </c>
      <c r="J6" s="3" t="s">
        <v>485</v>
      </c>
      <c r="K6" s="3" t="s">
        <v>486</v>
      </c>
    </row>
    <row r="7" spans="1:12" s="3" customFormat="1" x14ac:dyDescent="0.4">
      <c r="A7" s="4"/>
      <c r="B7" s="10">
        <v>20002</v>
      </c>
      <c r="C7" s="10" t="s">
        <v>487</v>
      </c>
      <c r="D7" s="10">
        <v>2</v>
      </c>
      <c r="E7" s="3">
        <v>1</v>
      </c>
      <c r="F7" s="11" t="s">
        <v>488</v>
      </c>
      <c r="G7" s="3">
        <v>100101</v>
      </c>
      <c r="H7" s="3">
        <v>0</v>
      </c>
      <c r="J7" s="3" t="s">
        <v>485</v>
      </c>
      <c r="K7" s="3" t="s">
        <v>486</v>
      </c>
    </row>
    <row r="8" spans="1:12" x14ac:dyDescent="0.4">
      <c r="B8" s="10">
        <v>20003</v>
      </c>
      <c r="C8" s="10" t="s">
        <v>489</v>
      </c>
      <c r="D8" s="10">
        <v>3</v>
      </c>
      <c r="E8" s="3">
        <v>1</v>
      </c>
      <c r="F8" s="11" t="s">
        <v>490</v>
      </c>
      <c r="G8" s="4">
        <v>100102</v>
      </c>
      <c r="H8" s="3">
        <v>0</v>
      </c>
      <c r="I8" s="3"/>
      <c r="J8" s="3" t="s">
        <v>485</v>
      </c>
      <c r="K8" s="3" t="s">
        <v>486</v>
      </c>
      <c r="L8" s="3"/>
    </row>
    <row r="9" spans="1:12" x14ac:dyDescent="0.4">
      <c r="B9" s="10">
        <v>20004</v>
      </c>
      <c r="C9" s="10" t="s">
        <v>491</v>
      </c>
      <c r="D9" s="10">
        <v>4</v>
      </c>
      <c r="E9" s="3">
        <v>1</v>
      </c>
      <c r="F9" s="11" t="s">
        <v>492</v>
      </c>
      <c r="G9" s="4">
        <v>100103</v>
      </c>
      <c r="H9" s="3">
        <v>0</v>
      </c>
      <c r="I9" s="3"/>
      <c r="J9" s="3" t="s">
        <v>485</v>
      </c>
      <c r="K9" s="3" t="s">
        <v>486</v>
      </c>
      <c r="L9" s="3"/>
    </row>
    <row r="10" spans="1:12" x14ac:dyDescent="0.4">
      <c r="B10" s="3">
        <v>20005</v>
      </c>
      <c r="C10" s="3" t="s">
        <v>493</v>
      </c>
      <c r="D10" s="3">
        <v>5</v>
      </c>
      <c r="E10" s="3">
        <v>1</v>
      </c>
      <c r="F10" s="11" t="s">
        <v>494</v>
      </c>
      <c r="G10" s="4">
        <v>100100</v>
      </c>
      <c r="H10" s="3">
        <v>0</v>
      </c>
      <c r="I10" s="3"/>
      <c r="J10" s="3" t="s">
        <v>485</v>
      </c>
      <c r="K10" s="3" t="s">
        <v>486</v>
      </c>
      <c r="L10" s="3"/>
    </row>
    <row r="11" spans="1:12" x14ac:dyDescent="0.4">
      <c r="B11" s="3">
        <v>20006</v>
      </c>
      <c r="C11" s="3" t="s">
        <v>495</v>
      </c>
      <c r="D11" s="3">
        <v>6</v>
      </c>
      <c r="E11" s="3">
        <v>1</v>
      </c>
      <c r="F11" s="11" t="s">
        <v>494</v>
      </c>
      <c r="G11" s="4">
        <v>100100</v>
      </c>
      <c r="H11" s="3">
        <v>0</v>
      </c>
      <c r="I11" s="3"/>
      <c r="J11" s="3" t="s">
        <v>485</v>
      </c>
      <c r="K11" s="3" t="s">
        <v>486</v>
      </c>
      <c r="L11" s="3"/>
    </row>
    <row r="12" spans="1:12" x14ac:dyDescent="0.4">
      <c r="B12" s="12">
        <v>20011</v>
      </c>
      <c r="C12" s="12" t="s">
        <v>496</v>
      </c>
      <c r="D12" s="12">
        <v>90</v>
      </c>
      <c r="E12" s="3">
        <v>1</v>
      </c>
      <c r="F12" s="11">
        <v>100111</v>
      </c>
      <c r="G12" s="4">
        <v>100400</v>
      </c>
      <c r="H12" s="3">
        <v>86400</v>
      </c>
      <c r="I12" s="3"/>
      <c r="J12" s="3" t="s">
        <v>485</v>
      </c>
      <c r="K12" s="3" t="s">
        <v>486</v>
      </c>
      <c r="L12" s="3"/>
    </row>
    <row r="13" spans="1:12" x14ac:dyDescent="0.4">
      <c r="B13" s="12">
        <v>20014</v>
      </c>
      <c r="C13" s="12" t="s">
        <v>623</v>
      </c>
      <c r="D13" s="12">
        <v>91</v>
      </c>
      <c r="E13" s="3">
        <v>1</v>
      </c>
      <c r="F13" s="11">
        <v>100114</v>
      </c>
      <c r="G13" s="11">
        <v>100114</v>
      </c>
      <c r="H13" s="3">
        <v>86400</v>
      </c>
      <c r="I13" s="3"/>
      <c r="J13" s="3" t="s">
        <v>485</v>
      </c>
      <c r="K13" s="3" t="s">
        <v>486</v>
      </c>
      <c r="L13" s="3"/>
    </row>
    <row r="14" spans="1:12" x14ac:dyDescent="0.4">
      <c r="B14" s="12">
        <v>20015</v>
      </c>
      <c r="C14" s="12" t="s">
        <v>629</v>
      </c>
      <c r="D14" s="12">
        <v>93</v>
      </c>
      <c r="E14" s="3">
        <v>1</v>
      </c>
      <c r="F14" s="11">
        <v>100115</v>
      </c>
      <c r="G14" s="11">
        <v>100115</v>
      </c>
      <c r="H14" s="3">
        <v>0</v>
      </c>
      <c r="I14" s="7" t="s">
        <v>632</v>
      </c>
      <c r="J14" s="3" t="s">
        <v>485</v>
      </c>
      <c r="K14" s="3" t="s">
        <v>486</v>
      </c>
      <c r="L14" s="3"/>
    </row>
    <row r="15" spans="1:12" x14ac:dyDescent="0.4">
      <c r="B15" s="3">
        <v>20101</v>
      </c>
      <c r="C15" s="3" t="s">
        <v>497</v>
      </c>
      <c r="D15" s="3">
        <v>7</v>
      </c>
      <c r="E15" s="3">
        <v>1</v>
      </c>
      <c r="F15" s="11" t="s">
        <v>498</v>
      </c>
      <c r="G15" s="4">
        <v>100201</v>
      </c>
      <c r="H15" s="3">
        <v>0</v>
      </c>
      <c r="I15" s="9" t="s">
        <v>499</v>
      </c>
      <c r="J15" s="3" t="s">
        <v>485</v>
      </c>
      <c r="K15" s="3" t="s">
        <v>486</v>
      </c>
      <c r="L15" s="3"/>
    </row>
    <row r="16" spans="1:12" x14ac:dyDescent="0.4">
      <c r="B16" s="3">
        <v>20102</v>
      </c>
      <c r="C16" s="3" t="s">
        <v>500</v>
      </c>
      <c r="D16" s="3">
        <v>8</v>
      </c>
      <c r="E16" s="3">
        <v>1</v>
      </c>
      <c r="F16" s="11" t="s">
        <v>501</v>
      </c>
      <c r="G16" s="4">
        <v>100204</v>
      </c>
      <c r="H16" s="3">
        <v>0</v>
      </c>
      <c r="I16" s="9" t="s">
        <v>502</v>
      </c>
      <c r="J16" s="3" t="s">
        <v>485</v>
      </c>
      <c r="K16" s="3" t="s">
        <v>486</v>
      </c>
      <c r="L16" s="3"/>
    </row>
    <row r="17" spans="2:12" x14ac:dyDescent="0.4">
      <c r="B17" s="3">
        <v>20103</v>
      </c>
      <c r="C17" s="3" t="s">
        <v>503</v>
      </c>
      <c r="D17" s="3">
        <v>9</v>
      </c>
      <c r="E17" s="3">
        <v>1</v>
      </c>
      <c r="F17" s="11" t="s">
        <v>504</v>
      </c>
      <c r="G17" s="4">
        <v>100202</v>
      </c>
      <c r="H17" s="3">
        <v>0</v>
      </c>
      <c r="I17" s="9" t="s">
        <v>507</v>
      </c>
      <c r="J17" s="3" t="s">
        <v>485</v>
      </c>
      <c r="K17" s="3" t="s">
        <v>486</v>
      </c>
      <c r="L17" s="3"/>
    </row>
    <row r="18" spans="2:12" x14ac:dyDescent="0.4">
      <c r="B18" s="10">
        <v>20104</v>
      </c>
      <c r="C18" s="10" t="s">
        <v>505</v>
      </c>
      <c r="D18" s="10">
        <v>11</v>
      </c>
      <c r="E18" s="3">
        <v>1</v>
      </c>
      <c r="F18" s="11" t="s">
        <v>506</v>
      </c>
      <c r="G18" s="4">
        <v>100203</v>
      </c>
      <c r="H18" s="3">
        <v>0</v>
      </c>
      <c r="I18" s="9" t="s">
        <v>510</v>
      </c>
      <c r="J18" s="3" t="s">
        <v>485</v>
      </c>
      <c r="K18" s="3" t="s">
        <v>486</v>
      </c>
      <c r="L18" s="3"/>
    </row>
    <row r="19" spans="2:12" x14ac:dyDescent="0.4">
      <c r="B19" s="10">
        <v>20105</v>
      </c>
      <c r="C19" s="10" t="s">
        <v>508</v>
      </c>
      <c r="D19" s="10">
        <v>12</v>
      </c>
      <c r="E19" s="3">
        <v>1</v>
      </c>
      <c r="F19" s="11" t="s">
        <v>509</v>
      </c>
      <c r="G19" s="4">
        <v>100204</v>
      </c>
      <c r="H19" s="3">
        <v>0</v>
      </c>
      <c r="I19" s="9" t="s">
        <v>510</v>
      </c>
      <c r="J19" s="3" t="s">
        <v>485</v>
      </c>
      <c r="K19" s="3" t="s">
        <v>486</v>
      </c>
      <c r="L19" s="3"/>
    </row>
    <row r="20" spans="2:12" x14ac:dyDescent="0.4">
      <c r="B20" s="3">
        <v>20201</v>
      </c>
      <c r="C20" s="3" t="s">
        <v>511</v>
      </c>
      <c r="D20" s="3">
        <v>13</v>
      </c>
      <c r="E20" s="3">
        <v>1</v>
      </c>
      <c r="F20" s="11" t="s">
        <v>512</v>
      </c>
      <c r="G20" s="11" t="s">
        <v>512</v>
      </c>
      <c r="H20" s="3">
        <v>2592000</v>
      </c>
      <c r="I20" s="3"/>
      <c r="J20" s="3" t="s">
        <v>485</v>
      </c>
      <c r="K20" s="3" t="s">
        <v>486</v>
      </c>
      <c r="L20" s="3"/>
    </row>
    <row r="21" spans="2:12" x14ac:dyDescent="0.4">
      <c r="B21" s="3">
        <v>20202</v>
      </c>
      <c r="C21" s="3" t="s">
        <v>513</v>
      </c>
      <c r="D21" s="3">
        <v>14</v>
      </c>
      <c r="E21" s="3">
        <v>1</v>
      </c>
      <c r="F21" s="11" t="s">
        <v>514</v>
      </c>
      <c r="G21" s="11" t="s">
        <v>514</v>
      </c>
      <c r="H21" s="3">
        <v>2592000</v>
      </c>
      <c r="I21" s="3"/>
      <c r="J21" s="3" t="s">
        <v>485</v>
      </c>
      <c r="K21" s="3" t="s">
        <v>486</v>
      </c>
      <c r="L21" s="3"/>
    </row>
    <row r="22" spans="2:12" x14ac:dyDescent="0.4">
      <c r="B22" s="3">
        <v>20203</v>
      </c>
      <c r="C22" s="3" t="s">
        <v>515</v>
      </c>
      <c r="D22" s="3">
        <v>15</v>
      </c>
      <c r="E22" s="3">
        <v>1</v>
      </c>
      <c r="F22" s="11" t="s">
        <v>514</v>
      </c>
      <c r="G22" s="4">
        <v>100100</v>
      </c>
      <c r="H22" s="3">
        <v>2592000</v>
      </c>
      <c r="I22" s="3"/>
      <c r="J22" s="3" t="s">
        <v>485</v>
      </c>
      <c r="K22" s="3" t="s">
        <v>486</v>
      </c>
      <c r="L22" s="3"/>
    </row>
    <row r="23" spans="2:12" x14ac:dyDescent="0.4">
      <c r="B23" s="13">
        <v>20301</v>
      </c>
      <c r="C23" s="13" t="s">
        <v>516</v>
      </c>
      <c r="D23" s="13">
        <v>16</v>
      </c>
      <c r="E23" s="3">
        <v>1</v>
      </c>
      <c r="F23" s="11" t="s">
        <v>517</v>
      </c>
      <c r="G23" s="4">
        <v>100401</v>
      </c>
      <c r="H23" s="3">
        <v>1209600</v>
      </c>
      <c r="I23" s="3"/>
      <c r="J23" s="3" t="s">
        <v>485</v>
      </c>
      <c r="K23" s="3" t="s">
        <v>486</v>
      </c>
      <c r="L23" s="3"/>
    </row>
    <row r="24" spans="2:12" x14ac:dyDescent="0.4">
      <c r="B24" s="3">
        <v>20302</v>
      </c>
      <c r="C24" s="3" t="s">
        <v>518</v>
      </c>
      <c r="D24" s="3">
        <v>17</v>
      </c>
      <c r="E24" s="3">
        <v>1</v>
      </c>
      <c r="F24" s="11" t="s">
        <v>519</v>
      </c>
      <c r="G24" s="4">
        <v>100402</v>
      </c>
      <c r="H24" s="3">
        <v>1209600</v>
      </c>
      <c r="I24" s="3"/>
      <c r="J24" s="3" t="s">
        <v>485</v>
      </c>
      <c r="K24" s="3" t="s">
        <v>486</v>
      </c>
      <c r="L24" s="3"/>
    </row>
    <row r="25" spans="2:12" x14ac:dyDescent="0.4">
      <c r="B25" s="3">
        <v>20303</v>
      </c>
      <c r="C25" s="3" t="s">
        <v>520</v>
      </c>
      <c r="D25" s="3">
        <v>18</v>
      </c>
      <c r="E25" s="3">
        <v>1</v>
      </c>
      <c r="F25" s="11" t="s">
        <v>519</v>
      </c>
      <c r="G25" s="4">
        <v>100402</v>
      </c>
      <c r="H25" s="3">
        <v>1209600</v>
      </c>
      <c r="I25" s="3"/>
      <c r="J25" s="3" t="s">
        <v>485</v>
      </c>
      <c r="K25" s="3" t="s">
        <v>486</v>
      </c>
      <c r="L25" s="3"/>
    </row>
    <row r="26" spans="2:12" x14ac:dyDescent="0.4">
      <c r="B26" s="14">
        <v>20401</v>
      </c>
      <c r="C26" s="14" t="s">
        <v>521</v>
      </c>
      <c r="D26" s="14">
        <v>19</v>
      </c>
      <c r="E26" s="3">
        <v>1</v>
      </c>
      <c r="F26" s="11">
        <v>100500</v>
      </c>
      <c r="G26" s="4">
        <v>100500</v>
      </c>
      <c r="H26" s="3">
        <v>604800</v>
      </c>
      <c r="I26" s="3"/>
      <c r="J26" s="3" t="s">
        <v>485</v>
      </c>
      <c r="K26" s="3" t="s">
        <v>486</v>
      </c>
      <c r="L26" s="3"/>
    </row>
    <row r="27" spans="2:12" x14ac:dyDescent="0.4">
      <c r="B27" s="14">
        <v>20402</v>
      </c>
      <c r="C27" s="14" t="s">
        <v>522</v>
      </c>
      <c r="D27" s="14">
        <v>20</v>
      </c>
      <c r="E27" s="3">
        <v>1</v>
      </c>
      <c r="F27" s="11">
        <v>100501</v>
      </c>
      <c r="G27" s="4">
        <v>100501</v>
      </c>
      <c r="H27" s="3">
        <v>604800</v>
      </c>
      <c r="I27" s="3"/>
      <c r="J27" s="3" t="s">
        <v>485</v>
      </c>
      <c r="K27" s="3" t="s">
        <v>486</v>
      </c>
      <c r="L27" s="3"/>
    </row>
    <row r="28" spans="2:12" x14ac:dyDescent="0.4">
      <c r="B28" s="12">
        <v>20901</v>
      </c>
      <c r="C28" s="12" t="s">
        <v>625</v>
      </c>
      <c r="D28" s="12">
        <v>92</v>
      </c>
      <c r="E28" s="3">
        <v>1</v>
      </c>
      <c r="F28" s="11">
        <v>100901</v>
      </c>
      <c r="G28" s="11">
        <v>100901</v>
      </c>
      <c r="H28" s="3">
        <v>0</v>
      </c>
      <c r="I28" s="9" t="s">
        <v>633</v>
      </c>
      <c r="J28" s="3" t="s">
        <v>485</v>
      </c>
      <c r="K28" s="3" t="s">
        <v>486</v>
      </c>
      <c r="L28" s="3"/>
    </row>
    <row r="29" spans="2:12" x14ac:dyDescent="0.4">
      <c r="B29" s="12">
        <v>20902</v>
      </c>
      <c r="C29" s="12" t="s">
        <v>640</v>
      </c>
      <c r="D29" s="12">
        <v>94</v>
      </c>
      <c r="E29" s="3">
        <v>1</v>
      </c>
      <c r="F29" s="11">
        <v>100902</v>
      </c>
      <c r="G29" s="11">
        <v>100902</v>
      </c>
      <c r="H29" s="3">
        <v>0</v>
      </c>
      <c r="I29" s="9" t="s">
        <v>642</v>
      </c>
      <c r="J29" s="3" t="s">
        <v>485</v>
      </c>
      <c r="K29" s="3" t="s">
        <v>486</v>
      </c>
      <c r="L29" s="3"/>
    </row>
    <row r="30" spans="2:12" x14ac:dyDescent="0.4">
      <c r="B30" s="10">
        <v>21001</v>
      </c>
      <c r="C30" s="10" t="s">
        <v>523</v>
      </c>
      <c r="D30" s="10">
        <v>1</v>
      </c>
      <c r="E30" s="3">
        <v>2</v>
      </c>
      <c r="F30" s="15" t="s">
        <v>524</v>
      </c>
      <c r="G30" s="4">
        <v>110100</v>
      </c>
      <c r="H30" s="3">
        <v>0</v>
      </c>
      <c r="I30" s="3"/>
      <c r="J30" s="3" t="s">
        <v>485</v>
      </c>
      <c r="K30" s="3" t="s">
        <v>486</v>
      </c>
      <c r="L30" s="3"/>
    </row>
    <row r="31" spans="2:12" x14ac:dyDescent="0.4">
      <c r="B31" s="10">
        <v>21002</v>
      </c>
      <c r="C31" s="10" t="s">
        <v>525</v>
      </c>
      <c r="D31" s="10">
        <v>2</v>
      </c>
      <c r="E31" s="3">
        <v>2</v>
      </c>
      <c r="F31" s="15">
        <v>110101</v>
      </c>
      <c r="G31" s="4">
        <v>110101</v>
      </c>
      <c r="H31" s="3">
        <v>0</v>
      </c>
      <c r="I31" s="3"/>
      <c r="J31" s="3" t="s">
        <v>485</v>
      </c>
      <c r="K31" s="3" t="s">
        <v>486</v>
      </c>
      <c r="L31" s="3"/>
    </row>
    <row r="32" spans="2:12" x14ac:dyDescent="0.4">
      <c r="B32" s="10">
        <v>21003</v>
      </c>
      <c r="C32" s="10" t="s">
        <v>526</v>
      </c>
      <c r="D32" s="10">
        <v>3</v>
      </c>
      <c r="E32" s="3">
        <v>2</v>
      </c>
      <c r="F32" s="16">
        <v>110102</v>
      </c>
      <c r="G32" s="4">
        <v>110102</v>
      </c>
      <c r="H32" s="3">
        <v>0</v>
      </c>
      <c r="I32" s="3"/>
      <c r="J32" s="3" t="s">
        <v>485</v>
      </c>
      <c r="K32" s="3" t="s">
        <v>486</v>
      </c>
      <c r="L32" s="3"/>
    </row>
    <row r="33" spans="2:12" x14ac:dyDescent="0.4">
      <c r="B33" s="10">
        <v>21004</v>
      </c>
      <c r="C33" s="10" t="s">
        <v>527</v>
      </c>
      <c r="D33" s="10">
        <v>4</v>
      </c>
      <c r="E33" s="3">
        <v>2</v>
      </c>
      <c r="F33" s="15">
        <v>110103</v>
      </c>
      <c r="G33" s="4">
        <v>110103</v>
      </c>
      <c r="H33" s="3">
        <v>0</v>
      </c>
      <c r="I33" s="3"/>
      <c r="J33" s="3" t="s">
        <v>485</v>
      </c>
      <c r="K33" s="3" t="s">
        <v>486</v>
      </c>
      <c r="L33" s="3"/>
    </row>
    <row r="34" spans="2:12" x14ac:dyDescent="0.4">
      <c r="B34" s="3">
        <v>21005</v>
      </c>
      <c r="C34" s="3" t="s">
        <v>528</v>
      </c>
      <c r="D34" s="3">
        <v>5</v>
      </c>
      <c r="E34" s="3">
        <v>2</v>
      </c>
      <c r="F34" s="15">
        <v>110104</v>
      </c>
      <c r="G34" s="4">
        <v>110100</v>
      </c>
      <c r="H34" s="3">
        <v>0</v>
      </c>
      <c r="I34" s="3"/>
      <c r="J34" s="3" t="s">
        <v>485</v>
      </c>
      <c r="K34" s="3" t="s">
        <v>486</v>
      </c>
      <c r="L34" s="3"/>
    </row>
    <row r="35" spans="2:12" x14ac:dyDescent="0.4">
      <c r="B35" s="3">
        <v>21006</v>
      </c>
      <c r="C35" s="3" t="s">
        <v>529</v>
      </c>
      <c r="D35" s="3">
        <v>6</v>
      </c>
      <c r="E35" s="3">
        <v>2</v>
      </c>
      <c r="F35" s="15">
        <v>110104</v>
      </c>
      <c r="G35" s="4">
        <v>110100</v>
      </c>
      <c r="H35" s="3">
        <v>0</v>
      </c>
      <c r="I35" s="3"/>
      <c r="J35" s="3" t="s">
        <v>485</v>
      </c>
      <c r="K35" s="3" t="s">
        <v>486</v>
      </c>
      <c r="L35" s="3"/>
    </row>
    <row r="36" spans="2:12" x14ac:dyDescent="0.4">
      <c r="B36" s="14">
        <v>21011</v>
      </c>
      <c r="C36" s="14" t="s">
        <v>530</v>
      </c>
      <c r="D36" s="14">
        <v>90</v>
      </c>
      <c r="E36" s="3">
        <v>2</v>
      </c>
      <c r="F36" s="15" t="s">
        <v>531</v>
      </c>
      <c r="G36" s="4">
        <v>110400</v>
      </c>
      <c r="H36" s="3">
        <v>86400</v>
      </c>
      <c r="I36" s="3"/>
      <c r="J36" s="3" t="s">
        <v>485</v>
      </c>
      <c r="K36" s="3" t="s">
        <v>486</v>
      </c>
      <c r="L36" s="3"/>
    </row>
    <row r="37" spans="2:12" x14ac:dyDescent="0.4">
      <c r="B37" s="14">
        <v>21014</v>
      </c>
      <c r="C37" s="14" t="s">
        <v>622</v>
      </c>
      <c r="D37" s="14">
        <v>91</v>
      </c>
      <c r="E37" s="3">
        <v>2</v>
      </c>
      <c r="F37" s="26" t="s">
        <v>613</v>
      </c>
      <c r="G37" s="26" t="s">
        <v>613</v>
      </c>
      <c r="H37" s="3">
        <v>86400</v>
      </c>
      <c r="I37" s="3"/>
      <c r="J37" s="3" t="s">
        <v>485</v>
      </c>
      <c r="K37" s="3" t="s">
        <v>486</v>
      </c>
      <c r="L37" s="3"/>
    </row>
    <row r="38" spans="2:12" x14ac:dyDescent="0.4">
      <c r="B38" s="14">
        <v>21015</v>
      </c>
      <c r="C38" s="14" t="s">
        <v>630</v>
      </c>
      <c r="D38" s="14">
        <v>93</v>
      </c>
      <c r="E38" s="3">
        <v>2</v>
      </c>
      <c r="F38" s="15" t="s">
        <v>631</v>
      </c>
      <c r="G38" s="15" t="s">
        <v>631</v>
      </c>
      <c r="H38" s="3">
        <v>0</v>
      </c>
      <c r="I38" s="7" t="s">
        <v>632</v>
      </c>
      <c r="J38" s="3" t="s">
        <v>485</v>
      </c>
      <c r="K38" s="3" t="s">
        <v>486</v>
      </c>
      <c r="L38" s="3"/>
    </row>
    <row r="39" spans="2:12" x14ac:dyDescent="0.4">
      <c r="B39" s="3">
        <v>21101</v>
      </c>
      <c r="C39" s="3" t="s">
        <v>532</v>
      </c>
      <c r="D39" s="3">
        <v>7</v>
      </c>
      <c r="E39" s="3">
        <v>2</v>
      </c>
      <c r="F39" s="15">
        <v>110200</v>
      </c>
      <c r="G39" s="4">
        <v>110201</v>
      </c>
      <c r="H39" s="3">
        <v>0</v>
      </c>
      <c r="I39" s="9" t="s">
        <v>499</v>
      </c>
      <c r="J39" s="3" t="s">
        <v>485</v>
      </c>
      <c r="K39" s="3" t="s">
        <v>486</v>
      </c>
      <c r="L39" s="3"/>
    </row>
    <row r="40" spans="2:12" x14ac:dyDescent="0.4">
      <c r="B40" s="3">
        <v>21102</v>
      </c>
      <c r="C40" s="3" t="s">
        <v>533</v>
      </c>
      <c r="D40" s="3">
        <v>8</v>
      </c>
      <c r="E40" s="3">
        <v>2</v>
      </c>
      <c r="F40" s="15">
        <v>110201</v>
      </c>
      <c r="G40" s="4">
        <v>110204</v>
      </c>
      <c r="H40" s="3">
        <v>0</v>
      </c>
      <c r="I40" s="9" t="s">
        <v>502</v>
      </c>
      <c r="J40" s="3" t="s">
        <v>485</v>
      </c>
      <c r="K40" s="3" t="s">
        <v>486</v>
      </c>
      <c r="L40" s="3"/>
    </row>
    <row r="41" spans="2:12" x14ac:dyDescent="0.4">
      <c r="B41" s="3">
        <v>21103</v>
      </c>
      <c r="C41" s="3" t="s">
        <v>534</v>
      </c>
      <c r="D41" s="3">
        <v>9</v>
      </c>
      <c r="E41" s="3">
        <v>2</v>
      </c>
      <c r="F41" s="15">
        <v>110202</v>
      </c>
      <c r="G41" s="4">
        <v>110202</v>
      </c>
      <c r="H41" s="3">
        <v>0</v>
      </c>
      <c r="I41" s="9" t="s">
        <v>507</v>
      </c>
      <c r="J41" s="3" t="s">
        <v>485</v>
      </c>
      <c r="K41" s="3" t="s">
        <v>486</v>
      </c>
      <c r="L41" s="3"/>
    </row>
    <row r="42" spans="2:12" x14ac:dyDescent="0.4">
      <c r="B42" s="10">
        <v>21104</v>
      </c>
      <c r="C42" s="10" t="s">
        <v>535</v>
      </c>
      <c r="D42" s="10">
        <v>11</v>
      </c>
      <c r="E42" s="3">
        <v>2</v>
      </c>
      <c r="F42" s="15">
        <v>110203</v>
      </c>
      <c r="G42" s="4">
        <v>110203</v>
      </c>
      <c r="H42" s="3">
        <v>0</v>
      </c>
      <c r="I42" s="9" t="s">
        <v>510</v>
      </c>
      <c r="J42" s="3" t="s">
        <v>485</v>
      </c>
      <c r="K42" s="3" t="s">
        <v>486</v>
      </c>
      <c r="L42" s="3"/>
    </row>
    <row r="43" spans="2:12" x14ac:dyDescent="0.4">
      <c r="B43" s="10">
        <v>21105</v>
      </c>
      <c r="C43" s="10" t="s">
        <v>536</v>
      </c>
      <c r="D43" s="10">
        <v>12</v>
      </c>
      <c r="E43" s="3">
        <v>2</v>
      </c>
      <c r="F43" s="15">
        <v>110204</v>
      </c>
      <c r="G43" s="4">
        <v>110204</v>
      </c>
      <c r="H43" s="3">
        <v>0</v>
      </c>
      <c r="I43" s="9" t="s">
        <v>510</v>
      </c>
      <c r="J43" s="3" t="s">
        <v>485</v>
      </c>
      <c r="K43" s="3" t="s">
        <v>486</v>
      </c>
      <c r="L43" s="3"/>
    </row>
    <row r="44" spans="2:12" x14ac:dyDescent="0.4">
      <c r="B44" s="3">
        <v>21201</v>
      </c>
      <c r="C44" s="3" t="s">
        <v>537</v>
      </c>
      <c r="D44" s="3">
        <v>13</v>
      </c>
      <c r="E44" s="3">
        <v>2</v>
      </c>
      <c r="F44" s="15">
        <v>110300</v>
      </c>
      <c r="G44" s="15">
        <v>110300</v>
      </c>
      <c r="H44" s="3">
        <v>2592000</v>
      </c>
      <c r="I44" s="3"/>
      <c r="J44" s="3" t="s">
        <v>485</v>
      </c>
      <c r="K44" s="3" t="s">
        <v>486</v>
      </c>
      <c r="L44" s="3"/>
    </row>
    <row r="45" spans="2:12" x14ac:dyDescent="0.4">
      <c r="B45" s="3">
        <v>21202</v>
      </c>
      <c r="C45" s="3" t="s">
        <v>538</v>
      </c>
      <c r="D45" s="3">
        <v>14</v>
      </c>
      <c r="E45" s="3">
        <v>2</v>
      </c>
      <c r="F45" s="15">
        <v>110301</v>
      </c>
      <c r="G45" s="15">
        <v>110301</v>
      </c>
      <c r="H45" s="3">
        <v>2592000</v>
      </c>
      <c r="I45" s="3"/>
      <c r="J45" s="3" t="s">
        <v>485</v>
      </c>
      <c r="K45" s="3" t="s">
        <v>486</v>
      </c>
      <c r="L45" s="3"/>
    </row>
    <row r="46" spans="2:12" x14ac:dyDescent="0.4">
      <c r="B46" s="3">
        <v>21203</v>
      </c>
      <c r="C46" s="3" t="s">
        <v>539</v>
      </c>
      <c r="D46" s="3">
        <v>15</v>
      </c>
      <c r="E46" s="3">
        <v>2</v>
      </c>
      <c r="F46" s="15">
        <v>110301</v>
      </c>
      <c r="G46" s="4">
        <v>110100</v>
      </c>
      <c r="H46" s="3">
        <v>2592000</v>
      </c>
      <c r="I46" s="3"/>
      <c r="J46" s="3" t="s">
        <v>485</v>
      </c>
      <c r="K46" s="3" t="s">
        <v>486</v>
      </c>
      <c r="L46" s="3"/>
    </row>
    <row r="47" spans="2:12" x14ac:dyDescent="0.4">
      <c r="B47" s="10">
        <v>21301</v>
      </c>
      <c r="C47" s="10" t="s">
        <v>540</v>
      </c>
      <c r="D47" s="10">
        <v>16</v>
      </c>
      <c r="E47" s="3">
        <v>2</v>
      </c>
      <c r="F47" s="15">
        <v>110400</v>
      </c>
      <c r="G47" s="4">
        <v>110401</v>
      </c>
      <c r="H47" s="3">
        <v>1209600</v>
      </c>
      <c r="I47" s="3"/>
      <c r="J47" s="3" t="s">
        <v>485</v>
      </c>
      <c r="K47" s="3" t="s">
        <v>486</v>
      </c>
      <c r="L47" s="3"/>
    </row>
    <row r="48" spans="2:12" x14ac:dyDescent="0.4">
      <c r="B48" s="3">
        <v>21302</v>
      </c>
      <c r="C48" s="3" t="s">
        <v>541</v>
      </c>
      <c r="D48" s="3">
        <v>17</v>
      </c>
      <c r="E48" s="3">
        <v>2</v>
      </c>
      <c r="F48" s="15">
        <v>110401</v>
      </c>
      <c r="G48" s="4">
        <v>110402</v>
      </c>
      <c r="H48" s="3">
        <v>1209600</v>
      </c>
      <c r="I48" s="3"/>
      <c r="J48" s="3" t="s">
        <v>485</v>
      </c>
      <c r="K48" s="3" t="s">
        <v>486</v>
      </c>
      <c r="L48" s="3"/>
    </row>
    <row r="49" spans="2:12" x14ac:dyDescent="0.4">
      <c r="B49" s="3">
        <v>21303</v>
      </c>
      <c r="C49" s="3" t="s">
        <v>542</v>
      </c>
      <c r="D49" s="3">
        <v>18</v>
      </c>
      <c r="E49" s="3">
        <v>2</v>
      </c>
      <c r="F49" s="15">
        <v>110401</v>
      </c>
      <c r="G49" s="4">
        <v>110402</v>
      </c>
      <c r="H49" s="3">
        <v>1209600</v>
      </c>
      <c r="I49" s="3"/>
      <c r="J49" s="3" t="s">
        <v>485</v>
      </c>
      <c r="K49" s="3" t="s">
        <v>486</v>
      </c>
      <c r="L49" s="3"/>
    </row>
    <row r="50" spans="2:12" x14ac:dyDescent="0.4">
      <c r="B50" s="14">
        <v>21401</v>
      </c>
      <c r="C50" s="14" t="s">
        <v>543</v>
      </c>
      <c r="D50" s="14">
        <v>19</v>
      </c>
      <c r="E50" s="3">
        <v>2</v>
      </c>
      <c r="F50" s="11">
        <v>110500</v>
      </c>
      <c r="G50" s="4">
        <v>110500</v>
      </c>
      <c r="H50" s="3">
        <v>604800</v>
      </c>
      <c r="I50" s="3"/>
      <c r="J50" s="3" t="s">
        <v>485</v>
      </c>
      <c r="K50" s="3" t="s">
        <v>486</v>
      </c>
      <c r="L50" s="3"/>
    </row>
    <row r="51" spans="2:12" x14ac:dyDescent="0.4">
      <c r="B51" s="14">
        <v>21402</v>
      </c>
      <c r="C51" s="14" t="s">
        <v>544</v>
      </c>
      <c r="D51" s="14">
        <v>20</v>
      </c>
      <c r="E51" s="3">
        <v>2</v>
      </c>
      <c r="F51" s="11">
        <v>110501</v>
      </c>
      <c r="G51" s="4">
        <v>110501</v>
      </c>
      <c r="H51" s="3">
        <v>604800</v>
      </c>
      <c r="I51" s="3"/>
      <c r="J51" s="3" t="s">
        <v>485</v>
      </c>
      <c r="K51" s="3" t="s">
        <v>486</v>
      </c>
      <c r="L51" s="3"/>
    </row>
    <row r="52" spans="2:12" x14ac:dyDescent="0.4">
      <c r="B52" s="14">
        <v>21901</v>
      </c>
      <c r="C52" s="12" t="s">
        <v>626</v>
      </c>
      <c r="D52" s="14">
        <v>92</v>
      </c>
      <c r="E52" s="3">
        <v>2</v>
      </c>
      <c r="F52" s="11">
        <v>110901</v>
      </c>
      <c r="G52" s="11">
        <v>110901</v>
      </c>
      <c r="H52" s="3">
        <v>0</v>
      </c>
      <c r="I52" s="9" t="s">
        <v>633</v>
      </c>
      <c r="J52" s="3" t="s">
        <v>485</v>
      </c>
      <c r="K52" s="3" t="s">
        <v>486</v>
      </c>
      <c r="L52" s="3"/>
    </row>
    <row r="53" spans="2:12" x14ac:dyDescent="0.4">
      <c r="B53" s="14">
        <v>21902</v>
      </c>
      <c r="C53" s="12" t="s">
        <v>641</v>
      </c>
      <c r="D53" s="14">
        <v>94</v>
      </c>
      <c r="E53" s="3">
        <v>2</v>
      </c>
      <c r="F53" s="11">
        <v>110902</v>
      </c>
      <c r="G53" s="11">
        <v>110902</v>
      </c>
      <c r="H53" s="3">
        <v>0</v>
      </c>
      <c r="I53" s="9" t="s">
        <v>642</v>
      </c>
      <c r="J53" s="3" t="s">
        <v>485</v>
      </c>
      <c r="K53" s="3" t="s">
        <v>486</v>
      </c>
      <c r="L53" s="3"/>
    </row>
    <row r="54" spans="2:12" x14ac:dyDescent="0.4">
      <c r="B54" s="4">
        <v>30001</v>
      </c>
      <c r="C54" s="3" t="s">
        <v>545</v>
      </c>
      <c r="D54" s="3"/>
      <c r="E54" s="3">
        <v>0</v>
      </c>
      <c r="F54" s="3">
        <v>603</v>
      </c>
      <c r="G54" s="3"/>
      <c r="H54" s="3">
        <v>0</v>
      </c>
      <c r="J54" s="3" t="s">
        <v>485</v>
      </c>
      <c r="K54" s="3" t="s">
        <v>486</v>
      </c>
      <c r="L54" s="17" t="s">
        <v>546</v>
      </c>
    </row>
    <row r="55" spans="2:12" x14ac:dyDescent="0.4">
      <c r="B55" s="4">
        <v>30002</v>
      </c>
      <c r="C55" s="3" t="s">
        <v>547</v>
      </c>
      <c r="D55" s="3"/>
      <c r="E55" s="3">
        <v>0</v>
      </c>
      <c r="F55" s="3">
        <v>603</v>
      </c>
      <c r="G55" s="3"/>
      <c r="H55" s="3">
        <v>0</v>
      </c>
      <c r="J55" s="3" t="s">
        <v>485</v>
      </c>
      <c r="K55" s="3" t="s">
        <v>486</v>
      </c>
      <c r="L55" s="17" t="s">
        <v>546</v>
      </c>
    </row>
    <row r="56" spans="2:12" x14ac:dyDescent="0.4">
      <c r="B56" s="4">
        <v>30003</v>
      </c>
      <c r="C56" s="3" t="s">
        <v>548</v>
      </c>
      <c r="D56" s="3"/>
      <c r="E56" s="3">
        <v>0</v>
      </c>
      <c r="F56" s="3">
        <v>603</v>
      </c>
      <c r="G56" s="3"/>
      <c r="H56" s="3">
        <v>0</v>
      </c>
      <c r="J56" s="3" t="s">
        <v>485</v>
      </c>
      <c r="K56" s="3" t="s">
        <v>486</v>
      </c>
      <c r="L56" s="17" t="s">
        <v>546</v>
      </c>
    </row>
    <row r="57" spans="2:12" x14ac:dyDescent="0.4">
      <c r="B57" s="4">
        <v>30004</v>
      </c>
      <c r="C57" s="3" t="s">
        <v>549</v>
      </c>
      <c r="D57" s="3"/>
      <c r="E57" s="3">
        <v>0</v>
      </c>
      <c r="F57" s="3">
        <v>603</v>
      </c>
      <c r="G57" s="3"/>
      <c r="H57" s="3">
        <v>0</v>
      </c>
      <c r="J57" s="3" t="s">
        <v>485</v>
      </c>
      <c r="K57" s="3" t="s">
        <v>486</v>
      </c>
      <c r="L57" s="17" t="s">
        <v>546</v>
      </c>
    </row>
    <row r="58" spans="2:12" x14ac:dyDescent="0.4">
      <c r="B58" s="4">
        <v>31001</v>
      </c>
      <c r="C58" s="5" t="s">
        <v>550</v>
      </c>
      <c r="D58" s="3"/>
      <c r="E58" s="3">
        <v>0</v>
      </c>
      <c r="F58" s="3">
        <v>701</v>
      </c>
      <c r="G58" s="3"/>
      <c r="H58" s="3">
        <v>0</v>
      </c>
      <c r="J58" s="3" t="s">
        <v>485</v>
      </c>
      <c r="K58" s="3" t="s">
        <v>486</v>
      </c>
      <c r="L58" s="17" t="s">
        <v>551</v>
      </c>
    </row>
    <row r="59" spans="2:12" x14ac:dyDescent="0.4">
      <c r="B59" s="4">
        <v>31002</v>
      </c>
      <c r="C59" s="5" t="s">
        <v>552</v>
      </c>
      <c r="D59" s="3"/>
      <c r="E59" s="3">
        <v>0</v>
      </c>
      <c r="F59" s="3">
        <v>702</v>
      </c>
      <c r="G59" s="3"/>
      <c r="H59" s="3">
        <v>0</v>
      </c>
      <c r="J59" s="3" t="s">
        <v>485</v>
      </c>
      <c r="K59" s="3" t="s">
        <v>486</v>
      </c>
      <c r="L59" s="17" t="s">
        <v>551</v>
      </c>
    </row>
    <row r="60" spans="2:12" x14ac:dyDescent="0.4">
      <c r="B60" s="4">
        <v>31003</v>
      </c>
      <c r="C60" s="5" t="s">
        <v>553</v>
      </c>
      <c r="D60" s="3"/>
      <c r="E60" s="3">
        <v>0</v>
      </c>
      <c r="F60" s="3">
        <v>703</v>
      </c>
      <c r="G60" s="3"/>
      <c r="H60" s="3">
        <v>0</v>
      </c>
      <c r="J60" s="3" t="s">
        <v>485</v>
      </c>
      <c r="K60" s="3" t="s">
        <v>486</v>
      </c>
      <c r="L60" s="17" t="s">
        <v>551</v>
      </c>
    </row>
    <row r="61" spans="2:12" x14ac:dyDescent="0.4">
      <c r="B61" s="4">
        <v>31004</v>
      </c>
      <c r="C61" s="3" t="s">
        <v>554</v>
      </c>
      <c r="D61" s="3"/>
      <c r="E61" s="3">
        <v>0</v>
      </c>
      <c r="F61" s="3">
        <v>704</v>
      </c>
      <c r="G61" s="3"/>
      <c r="H61" s="3">
        <v>0</v>
      </c>
      <c r="J61" s="3" t="s">
        <v>485</v>
      </c>
      <c r="K61" s="3" t="s">
        <v>486</v>
      </c>
      <c r="L61" s="17" t="s">
        <v>551</v>
      </c>
    </row>
    <row r="62" spans="2:12" x14ac:dyDescent="0.4">
      <c r="B62" s="4">
        <v>32001</v>
      </c>
      <c r="C62" s="3" t="s">
        <v>555</v>
      </c>
      <c r="D62" s="3"/>
      <c r="E62" s="3">
        <v>0</v>
      </c>
      <c r="F62" s="3">
        <v>601</v>
      </c>
      <c r="G62" s="3"/>
      <c r="H62" s="3">
        <v>0</v>
      </c>
      <c r="J62" s="3" t="s">
        <v>485</v>
      </c>
      <c r="K62" s="3" t="s">
        <v>486</v>
      </c>
      <c r="L62" s="7" t="s">
        <v>556</v>
      </c>
    </row>
    <row r="63" spans="2:12" x14ac:dyDescent="0.4">
      <c r="B63" s="4">
        <v>40001</v>
      </c>
      <c r="C63" s="4" t="s">
        <v>557</v>
      </c>
      <c r="E63" s="3">
        <v>0</v>
      </c>
      <c r="F63" s="3">
        <v>604</v>
      </c>
      <c r="G63" s="3"/>
      <c r="H63" s="3">
        <v>0</v>
      </c>
      <c r="I63" s="9"/>
      <c r="J63" s="3" t="s">
        <v>485</v>
      </c>
      <c r="K63" s="3" t="s">
        <v>486</v>
      </c>
    </row>
    <row r="64" spans="2:12" x14ac:dyDescent="0.4">
      <c r="B64" s="4">
        <v>40002</v>
      </c>
      <c r="C64" s="4" t="s">
        <v>558</v>
      </c>
      <c r="E64" s="3">
        <v>0</v>
      </c>
      <c r="F64" s="3">
        <v>604</v>
      </c>
      <c r="G64" s="3"/>
      <c r="H64" s="3">
        <v>0</v>
      </c>
      <c r="I64" s="9"/>
      <c r="J64" s="3" t="s">
        <v>485</v>
      </c>
      <c r="K64" s="3" t="s">
        <v>486</v>
      </c>
    </row>
    <row r="65" spans="2:11" x14ac:dyDescent="0.4">
      <c r="B65" s="4">
        <v>40003</v>
      </c>
      <c r="C65" s="4" t="s">
        <v>559</v>
      </c>
      <c r="E65" s="3">
        <v>0</v>
      </c>
      <c r="F65" s="3">
        <v>604</v>
      </c>
      <c r="G65" s="3"/>
      <c r="H65" s="3">
        <v>0</v>
      </c>
      <c r="I65" s="9"/>
      <c r="J65" s="3" t="s">
        <v>485</v>
      </c>
      <c r="K65" s="3" t="s">
        <v>486</v>
      </c>
    </row>
    <row r="66" spans="2:11" x14ac:dyDescent="0.4">
      <c r="B66" s="4">
        <v>40004</v>
      </c>
      <c r="C66" s="4" t="s">
        <v>560</v>
      </c>
      <c r="E66" s="3">
        <v>0</v>
      </c>
      <c r="F66" s="3">
        <v>604</v>
      </c>
      <c r="G66" s="3"/>
      <c r="H66" s="3">
        <v>0</v>
      </c>
      <c r="I66" s="9"/>
      <c r="J66" s="3" t="s">
        <v>485</v>
      </c>
      <c r="K66" s="3" t="s">
        <v>486</v>
      </c>
    </row>
    <row r="67" spans="2:11" x14ac:dyDescent="0.4">
      <c r="B67" s="4">
        <v>40005</v>
      </c>
      <c r="C67" s="4" t="s">
        <v>561</v>
      </c>
      <c r="E67" s="3">
        <v>0</v>
      </c>
      <c r="F67" s="3">
        <v>604</v>
      </c>
      <c r="G67" s="3"/>
      <c r="H67" s="3">
        <v>0</v>
      </c>
      <c r="I67" s="9"/>
      <c r="J67" s="3" t="s">
        <v>485</v>
      </c>
      <c r="K67" s="3" t="s">
        <v>486</v>
      </c>
    </row>
    <row r="68" spans="2:11" x14ac:dyDescent="0.4">
      <c r="B68" s="4">
        <v>40006</v>
      </c>
      <c r="C68" s="4" t="s">
        <v>562</v>
      </c>
      <c r="E68" s="3">
        <v>0</v>
      </c>
      <c r="F68" s="3">
        <v>604</v>
      </c>
      <c r="G68" s="3"/>
      <c r="H68" s="3">
        <v>0</v>
      </c>
      <c r="I68" s="9"/>
      <c r="J68" s="3" t="s">
        <v>485</v>
      </c>
      <c r="K68" s="3" t="s">
        <v>486</v>
      </c>
    </row>
    <row r="69" spans="2:11" x14ac:dyDescent="0.4">
      <c r="B69" s="4">
        <v>40007</v>
      </c>
      <c r="C69" s="4" t="s">
        <v>563</v>
      </c>
      <c r="E69" s="3">
        <v>0</v>
      </c>
      <c r="F69" s="3">
        <v>604</v>
      </c>
      <c r="G69" s="3"/>
      <c r="H69" s="3">
        <v>0</v>
      </c>
      <c r="I69" s="9"/>
      <c r="J69" s="3" t="s">
        <v>485</v>
      </c>
      <c r="K69" s="3" t="s">
        <v>486</v>
      </c>
    </row>
    <row r="70" spans="2:11" x14ac:dyDescent="0.4">
      <c r="B70" s="4">
        <v>40008</v>
      </c>
      <c r="C70" s="4" t="s">
        <v>564</v>
      </c>
      <c r="E70" s="3">
        <v>0</v>
      </c>
      <c r="F70" s="3">
        <v>604</v>
      </c>
      <c r="G70" s="3"/>
      <c r="H70" s="3">
        <v>0</v>
      </c>
      <c r="I70" s="9"/>
      <c r="J70" s="3" t="s">
        <v>485</v>
      </c>
      <c r="K70" s="3" t="s">
        <v>486</v>
      </c>
    </row>
    <row r="71" spans="2:11" x14ac:dyDescent="0.4">
      <c r="B71" s="4">
        <v>40009</v>
      </c>
      <c r="C71" s="4" t="s">
        <v>565</v>
      </c>
      <c r="E71" s="3">
        <v>0</v>
      </c>
      <c r="F71" s="3">
        <v>604</v>
      </c>
      <c r="G71" s="3"/>
      <c r="H71" s="3">
        <v>0</v>
      </c>
      <c r="I71" s="9"/>
      <c r="J71" s="3" t="s">
        <v>485</v>
      </c>
      <c r="K71" s="3" t="s">
        <v>486</v>
      </c>
    </row>
    <row r="72" spans="2:11" x14ac:dyDescent="0.4">
      <c r="B72" s="4">
        <v>41001</v>
      </c>
      <c r="C72" s="4" t="s">
        <v>566</v>
      </c>
      <c r="E72" s="3">
        <v>0</v>
      </c>
      <c r="F72" s="3">
        <v>1000</v>
      </c>
      <c r="G72" s="3"/>
      <c r="H72" s="3">
        <v>0</v>
      </c>
      <c r="J72" s="3" t="s">
        <v>485</v>
      </c>
      <c r="K72" s="3" t="s">
        <v>486</v>
      </c>
    </row>
    <row r="73" spans="2:11" x14ac:dyDescent="0.4">
      <c r="B73" s="4">
        <v>41002</v>
      </c>
      <c r="C73" s="4" t="s">
        <v>567</v>
      </c>
      <c r="E73" s="3">
        <v>0</v>
      </c>
      <c r="F73" s="3">
        <v>1001</v>
      </c>
      <c r="G73" s="3"/>
      <c r="H73" s="3">
        <v>0</v>
      </c>
      <c r="J73" s="3" t="s">
        <v>485</v>
      </c>
      <c r="K73" s="3" t="s">
        <v>486</v>
      </c>
    </row>
    <row r="74" spans="2:11" x14ac:dyDescent="0.4">
      <c r="B74" s="4">
        <v>50001</v>
      </c>
      <c r="C74" s="4" t="s">
        <v>568</v>
      </c>
      <c r="E74" s="3">
        <v>0</v>
      </c>
      <c r="F74" s="11">
        <v>200001</v>
      </c>
      <c r="G74" s="3"/>
      <c r="H74" s="3">
        <v>0</v>
      </c>
      <c r="J74" s="3" t="s">
        <v>485</v>
      </c>
      <c r="K74" s="3" t="s">
        <v>486</v>
      </c>
    </row>
    <row r="75" spans="2:11" x14ac:dyDescent="0.4">
      <c r="B75" s="4">
        <v>50002</v>
      </c>
      <c r="C75" s="4" t="s">
        <v>569</v>
      </c>
      <c r="E75" s="3">
        <v>0</v>
      </c>
      <c r="F75" s="11">
        <v>200002</v>
      </c>
      <c r="G75" s="3"/>
      <c r="H75" s="3">
        <v>0</v>
      </c>
      <c r="J75" s="3" t="s">
        <v>485</v>
      </c>
      <c r="K75" s="3" t="s">
        <v>486</v>
      </c>
    </row>
    <row r="76" spans="2:11" x14ac:dyDescent="0.4">
      <c r="B76" s="4">
        <v>50003</v>
      </c>
      <c r="C76" s="4" t="s">
        <v>570</v>
      </c>
      <c r="E76" s="3">
        <v>0</v>
      </c>
      <c r="F76" s="11">
        <v>200003</v>
      </c>
      <c r="G76" s="3"/>
      <c r="H76" s="3">
        <v>0</v>
      </c>
      <c r="J76" s="3" t="s">
        <v>485</v>
      </c>
      <c r="K76" s="3" t="s">
        <v>486</v>
      </c>
    </row>
    <row r="77" spans="2:11" x14ac:dyDescent="0.4">
      <c r="B77" s="4">
        <v>50004</v>
      </c>
      <c r="C77" s="4" t="s">
        <v>571</v>
      </c>
      <c r="E77" s="3">
        <v>0</v>
      </c>
      <c r="F77" s="11">
        <v>200004</v>
      </c>
      <c r="G77" s="3"/>
      <c r="H77" s="3">
        <v>0</v>
      </c>
      <c r="J77" s="3" t="s">
        <v>485</v>
      </c>
      <c r="K77" s="3" t="s">
        <v>486</v>
      </c>
    </row>
    <row r="78" spans="2:11" x14ac:dyDescent="0.4">
      <c r="B78" s="4">
        <v>50005</v>
      </c>
      <c r="C78" s="4" t="s">
        <v>572</v>
      </c>
      <c r="E78" s="3">
        <v>0</v>
      </c>
      <c r="F78" s="11">
        <v>200005</v>
      </c>
      <c r="G78" s="3"/>
      <c r="H78" s="3">
        <v>0</v>
      </c>
      <c r="J78" s="3" t="s">
        <v>485</v>
      </c>
      <c r="K78" s="3" t="s">
        <v>486</v>
      </c>
    </row>
    <row r="79" spans="2:11" x14ac:dyDescent="0.4">
      <c r="B79" s="4">
        <v>50006</v>
      </c>
      <c r="C79" s="4" t="s">
        <v>573</v>
      </c>
      <c r="E79" s="3">
        <v>0</v>
      </c>
      <c r="F79" s="11">
        <v>200006</v>
      </c>
      <c r="G79" s="3"/>
      <c r="H79" s="3">
        <v>0</v>
      </c>
      <c r="J79" s="3" t="s">
        <v>485</v>
      </c>
      <c r="K79" s="3" t="s">
        <v>486</v>
      </c>
    </row>
    <row r="80" spans="2:11" x14ac:dyDescent="0.4">
      <c r="B80" s="4">
        <v>50007</v>
      </c>
      <c r="C80" s="4" t="s">
        <v>574</v>
      </c>
      <c r="E80" s="3">
        <v>0</v>
      </c>
      <c r="F80" s="11">
        <v>200007</v>
      </c>
      <c r="G80" s="3"/>
      <c r="H80" s="3">
        <v>0</v>
      </c>
      <c r="J80" s="3" t="s">
        <v>485</v>
      </c>
      <c r="K80" s="3" t="s">
        <v>486</v>
      </c>
    </row>
    <row r="81" spans="2:11" x14ac:dyDescent="0.4">
      <c r="B81" s="4">
        <v>50008</v>
      </c>
      <c r="C81" s="4" t="s">
        <v>575</v>
      </c>
      <c r="E81" s="3">
        <v>0</v>
      </c>
      <c r="F81" s="11">
        <v>200008</v>
      </c>
      <c r="G81" s="3"/>
      <c r="H81" s="3">
        <v>0</v>
      </c>
      <c r="J81" s="3" t="s">
        <v>485</v>
      </c>
      <c r="K81" s="3" t="s">
        <v>486</v>
      </c>
    </row>
    <row r="82" spans="2:11" x14ac:dyDescent="0.4">
      <c r="B82" s="4">
        <v>60001</v>
      </c>
      <c r="C82" s="4" t="s">
        <v>576</v>
      </c>
      <c r="E82" s="3">
        <v>0</v>
      </c>
      <c r="F82" s="18">
        <v>500</v>
      </c>
      <c r="G82" s="18"/>
      <c r="H82" s="3">
        <v>0</v>
      </c>
      <c r="J82" s="3" t="s">
        <v>485</v>
      </c>
      <c r="K82" s="3" t="s">
        <v>486</v>
      </c>
    </row>
    <row r="83" spans="2:11" x14ac:dyDescent="0.4">
      <c r="B83" s="4">
        <v>60002</v>
      </c>
      <c r="C83" s="4" t="s">
        <v>577</v>
      </c>
      <c r="E83" s="3">
        <v>0</v>
      </c>
      <c r="F83" s="18">
        <v>503</v>
      </c>
      <c r="G83" s="18"/>
      <c r="H83" s="3">
        <v>0</v>
      </c>
      <c r="J83" s="3" t="s">
        <v>485</v>
      </c>
      <c r="K83" s="3" t="s">
        <v>486</v>
      </c>
    </row>
  </sheetData>
  <phoneticPr fontId="9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>
      <selection activeCell="F18" sqref="F18"/>
    </sheetView>
  </sheetViews>
  <sheetFormatPr defaultColWidth="9" defaultRowHeight="13.9" x14ac:dyDescent="0.4"/>
  <cols>
    <col min="6" max="6" width="41.59765625" customWidth="1"/>
  </cols>
  <sheetData>
    <row r="1" spans="1:7" x14ac:dyDescent="0.4">
      <c r="A1" s="1" t="s">
        <v>0</v>
      </c>
      <c r="B1" s="8" t="s">
        <v>1</v>
      </c>
      <c r="C1" s="3" t="s">
        <v>2</v>
      </c>
      <c r="D1" s="3" t="s">
        <v>464</v>
      </c>
      <c r="E1" s="3" t="s">
        <v>468</v>
      </c>
      <c r="F1" s="4" t="s">
        <v>469</v>
      </c>
      <c r="G1" t="s">
        <v>578</v>
      </c>
    </row>
    <row r="2" spans="1:7" x14ac:dyDescent="0.4">
      <c r="A2" s="1" t="s">
        <v>0</v>
      </c>
      <c r="B2" s="3"/>
      <c r="C2" s="3"/>
      <c r="D2" s="3"/>
      <c r="E2" s="3"/>
      <c r="F2" s="4"/>
    </row>
    <row r="3" spans="1:7" x14ac:dyDescent="0.4">
      <c r="A3" s="6" t="s">
        <v>9</v>
      </c>
      <c r="B3" s="3" t="s">
        <v>10</v>
      </c>
      <c r="C3" s="3" t="s">
        <v>11</v>
      </c>
      <c r="D3" s="3" t="s">
        <v>10</v>
      </c>
      <c r="E3" s="3" t="s">
        <v>10</v>
      </c>
      <c r="F3" s="7" t="s">
        <v>120</v>
      </c>
      <c r="G3" t="s">
        <v>11</v>
      </c>
    </row>
    <row r="4" spans="1:7" x14ac:dyDescent="0.4">
      <c r="A4" s="6" t="s">
        <v>14</v>
      </c>
      <c r="B4" s="3"/>
      <c r="C4" s="3"/>
      <c r="D4" s="3"/>
      <c r="E4" s="3" t="s">
        <v>123</v>
      </c>
      <c r="F4" s="4"/>
    </row>
    <row r="5" spans="1:7" x14ac:dyDescent="0.4">
      <c r="A5" s="1" t="s">
        <v>15</v>
      </c>
      <c r="B5" s="3" t="s">
        <v>1</v>
      </c>
      <c r="C5" s="3" t="s">
        <v>579</v>
      </c>
      <c r="D5" s="3" t="s">
        <v>475</v>
      </c>
      <c r="E5" s="3" t="s">
        <v>478</v>
      </c>
      <c r="F5" s="4" t="s">
        <v>479</v>
      </c>
      <c r="G5" t="s">
        <v>580</v>
      </c>
    </row>
    <row r="6" spans="1:7" x14ac:dyDescent="0.4">
      <c r="B6">
        <v>1001</v>
      </c>
      <c r="C6" s="3" t="s">
        <v>581</v>
      </c>
      <c r="D6">
        <v>1</v>
      </c>
      <c r="E6" s="3">
        <v>86400</v>
      </c>
      <c r="F6" s="9" t="s">
        <v>499</v>
      </c>
      <c r="G6" s="4" t="s">
        <v>614</v>
      </c>
    </row>
    <row r="7" spans="1:7" x14ac:dyDescent="0.4">
      <c r="B7">
        <v>1002</v>
      </c>
      <c r="C7" t="s">
        <v>582</v>
      </c>
      <c r="D7">
        <v>2</v>
      </c>
      <c r="E7" s="3">
        <v>86400</v>
      </c>
      <c r="F7" s="9" t="s">
        <v>617</v>
      </c>
      <c r="G7" s="4" t="s">
        <v>620</v>
      </c>
    </row>
    <row r="8" spans="1:7" x14ac:dyDescent="0.4">
      <c r="B8">
        <v>1003</v>
      </c>
      <c r="C8" s="4" t="s">
        <v>616</v>
      </c>
      <c r="D8">
        <v>3</v>
      </c>
      <c r="E8" s="3">
        <v>86400</v>
      </c>
      <c r="F8" s="9" t="s">
        <v>618</v>
      </c>
      <c r="G8" s="4" t="s">
        <v>615</v>
      </c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7"/>
  <sheetViews>
    <sheetView workbookViewId="0">
      <selection activeCell="D30" sqref="D30"/>
    </sheetView>
  </sheetViews>
  <sheetFormatPr defaultColWidth="9" defaultRowHeight="13.9" x14ac:dyDescent="0.4"/>
  <cols>
    <col min="3" max="3" width="11.59765625" customWidth="1"/>
  </cols>
  <sheetData>
    <row r="1" spans="1:8" x14ac:dyDescent="0.4">
      <c r="A1" s="1" t="s">
        <v>0</v>
      </c>
      <c r="B1" s="2" t="s">
        <v>1</v>
      </c>
      <c r="C1" s="3" t="s">
        <v>583</v>
      </c>
      <c r="D1" s="3" t="s">
        <v>584</v>
      </c>
      <c r="E1" s="4" t="s">
        <v>585</v>
      </c>
      <c r="F1" s="4" t="s">
        <v>2</v>
      </c>
      <c r="G1" s="4" t="s">
        <v>469</v>
      </c>
      <c r="H1" t="s">
        <v>586</v>
      </c>
    </row>
    <row r="2" spans="1:8" x14ac:dyDescent="0.4">
      <c r="A2" s="1" t="s">
        <v>0</v>
      </c>
      <c r="B2" s="5"/>
      <c r="C2" s="5"/>
      <c r="D2" s="5"/>
      <c r="G2" s="4"/>
    </row>
    <row r="3" spans="1:8" x14ac:dyDescent="0.4">
      <c r="A3" s="6" t="s">
        <v>9</v>
      </c>
      <c r="B3" s="5" t="s">
        <v>10</v>
      </c>
      <c r="C3" s="5" t="s">
        <v>10</v>
      </c>
      <c r="D3" s="5" t="s">
        <v>10</v>
      </c>
      <c r="E3" s="5" t="s">
        <v>10</v>
      </c>
      <c r="F3" s="3" t="s">
        <v>11</v>
      </c>
      <c r="G3" s="7" t="s">
        <v>120</v>
      </c>
      <c r="H3" s="3" t="s">
        <v>11</v>
      </c>
    </row>
    <row r="4" spans="1:8" x14ac:dyDescent="0.4">
      <c r="A4" s="6" t="s">
        <v>14</v>
      </c>
      <c r="B4" s="5"/>
      <c r="C4" s="5"/>
      <c r="D4" s="5"/>
      <c r="G4" s="4"/>
      <c r="H4" s="3"/>
    </row>
    <row r="5" spans="1:8" x14ac:dyDescent="0.4">
      <c r="A5" s="1" t="s">
        <v>15</v>
      </c>
      <c r="B5" s="5" t="s">
        <v>1</v>
      </c>
      <c r="C5" s="3" t="s">
        <v>587</v>
      </c>
      <c r="D5" s="3" t="s">
        <v>588</v>
      </c>
      <c r="E5" s="3" t="s">
        <v>589</v>
      </c>
      <c r="F5" s="3" t="s">
        <v>579</v>
      </c>
      <c r="G5" s="4" t="s">
        <v>479</v>
      </c>
      <c r="H5" s="3" t="s">
        <v>590</v>
      </c>
    </row>
    <row r="6" spans="1:8" x14ac:dyDescent="0.4">
      <c r="A6" s="5"/>
      <c r="B6" s="5">
        <v>1</v>
      </c>
      <c r="C6" s="5">
        <v>20001</v>
      </c>
      <c r="D6" s="5">
        <f>C6+1000</f>
        <v>21001</v>
      </c>
      <c r="E6">
        <v>0</v>
      </c>
    </row>
    <row r="7" spans="1:8" x14ac:dyDescent="0.4">
      <c r="B7" s="5">
        <v>2</v>
      </c>
      <c r="C7" s="5">
        <v>20002</v>
      </c>
      <c r="D7" s="5">
        <f t="shared" ref="D7:D24" si="0">C7+1000</f>
        <v>21002</v>
      </c>
      <c r="E7">
        <v>0</v>
      </c>
    </row>
    <row r="8" spans="1:8" x14ac:dyDescent="0.4">
      <c r="B8" s="5">
        <v>3</v>
      </c>
      <c r="C8" s="5">
        <v>20003</v>
      </c>
      <c r="D8" s="5">
        <f t="shared" si="0"/>
        <v>21003</v>
      </c>
      <c r="E8">
        <v>0</v>
      </c>
    </row>
    <row r="9" spans="1:8" x14ac:dyDescent="0.4">
      <c r="B9" s="5">
        <v>4</v>
      </c>
      <c r="C9" s="5">
        <v>20004</v>
      </c>
      <c r="D9" s="5">
        <f t="shared" si="0"/>
        <v>21004</v>
      </c>
      <c r="E9">
        <v>0</v>
      </c>
    </row>
    <row r="10" spans="1:8" x14ac:dyDescent="0.4">
      <c r="B10" s="5">
        <v>5</v>
      </c>
      <c r="C10" s="5">
        <v>20005</v>
      </c>
      <c r="D10" s="5">
        <f t="shared" si="0"/>
        <v>21005</v>
      </c>
      <c r="E10">
        <v>0</v>
      </c>
    </row>
    <row r="11" spans="1:8" x14ac:dyDescent="0.4">
      <c r="B11" s="5">
        <v>6</v>
      </c>
      <c r="C11" s="5">
        <v>20006</v>
      </c>
      <c r="D11" s="5">
        <f t="shared" si="0"/>
        <v>21006</v>
      </c>
      <c r="E11">
        <v>0</v>
      </c>
    </row>
    <row r="12" spans="1:8" x14ac:dyDescent="0.4">
      <c r="B12" s="5">
        <v>7</v>
      </c>
      <c r="C12" s="5">
        <v>20101</v>
      </c>
      <c r="D12" s="5">
        <f t="shared" si="0"/>
        <v>21101</v>
      </c>
      <c r="E12">
        <v>1</v>
      </c>
      <c r="F12" s="4" t="s">
        <v>591</v>
      </c>
      <c r="G12" t="s">
        <v>499</v>
      </c>
      <c r="H12" s="4" t="s">
        <v>592</v>
      </c>
    </row>
    <row r="13" spans="1:8" x14ac:dyDescent="0.4">
      <c r="B13" s="5">
        <v>8</v>
      </c>
      <c r="C13" s="5">
        <v>20102</v>
      </c>
      <c r="D13" s="5">
        <f t="shared" si="0"/>
        <v>21102</v>
      </c>
      <c r="E13">
        <v>1</v>
      </c>
      <c r="F13" t="s">
        <v>593</v>
      </c>
      <c r="G13" t="s">
        <v>502</v>
      </c>
      <c r="H13" s="4" t="s">
        <v>594</v>
      </c>
    </row>
    <row r="14" spans="1:8" x14ac:dyDescent="0.4">
      <c r="B14" s="5">
        <v>9</v>
      </c>
      <c r="C14" s="5">
        <v>20103</v>
      </c>
      <c r="D14" s="5">
        <f t="shared" si="0"/>
        <v>21103</v>
      </c>
      <c r="E14">
        <v>1</v>
      </c>
      <c r="F14" s="4" t="s">
        <v>595</v>
      </c>
      <c r="G14" t="s">
        <v>502</v>
      </c>
      <c r="H14" s="4" t="s">
        <v>596</v>
      </c>
    </row>
    <row r="15" spans="1:8" x14ac:dyDescent="0.4">
      <c r="B15" s="5">
        <v>11</v>
      </c>
      <c r="C15" s="5">
        <v>20104</v>
      </c>
      <c r="D15" s="5">
        <f t="shared" si="0"/>
        <v>21104</v>
      </c>
      <c r="E15">
        <v>1</v>
      </c>
      <c r="F15" s="4" t="s">
        <v>597</v>
      </c>
      <c r="G15" t="s">
        <v>507</v>
      </c>
      <c r="H15" s="4" t="s">
        <v>598</v>
      </c>
    </row>
    <row r="16" spans="1:8" x14ac:dyDescent="0.4">
      <c r="B16" s="5">
        <v>12</v>
      </c>
      <c r="C16" s="5">
        <v>20105</v>
      </c>
      <c r="D16" s="5">
        <f t="shared" si="0"/>
        <v>21105</v>
      </c>
      <c r="E16">
        <v>0</v>
      </c>
      <c r="F16" t="s">
        <v>593</v>
      </c>
      <c r="G16" t="s">
        <v>510</v>
      </c>
    </row>
    <row r="17" spans="2:8" x14ac:dyDescent="0.4">
      <c r="B17" s="5">
        <v>13</v>
      </c>
      <c r="C17" s="5">
        <v>20201</v>
      </c>
      <c r="D17" s="5">
        <f t="shared" si="0"/>
        <v>21201</v>
      </c>
      <c r="E17">
        <v>1</v>
      </c>
      <c r="F17" s="4" t="s">
        <v>599</v>
      </c>
      <c r="H17" s="4" t="s">
        <v>600</v>
      </c>
    </row>
    <row r="18" spans="2:8" x14ac:dyDescent="0.4">
      <c r="B18" s="5">
        <v>14</v>
      </c>
      <c r="C18" s="5">
        <v>20202</v>
      </c>
      <c r="D18" s="5">
        <f t="shared" si="0"/>
        <v>21202</v>
      </c>
      <c r="E18">
        <v>1</v>
      </c>
      <c r="F18" s="4" t="s">
        <v>601</v>
      </c>
      <c r="H18" s="4" t="s">
        <v>602</v>
      </c>
    </row>
    <row r="19" spans="2:8" x14ac:dyDescent="0.4">
      <c r="B19" s="5">
        <v>16</v>
      </c>
      <c r="C19" s="5">
        <v>20301</v>
      </c>
      <c r="D19" s="5">
        <f t="shared" si="0"/>
        <v>21301</v>
      </c>
      <c r="E19">
        <v>1</v>
      </c>
      <c r="F19" t="s">
        <v>603</v>
      </c>
      <c r="H19" s="4" t="s">
        <v>604</v>
      </c>
    </row>
    <row r="20" spans="2:8" x14ac:dyDescent="0.4">
      <c r="B20" s="5">
        <v>17</v>
      </c>
      <c r="C20" s="5">
        <v>20302</v>
      </c>
      <c r="D20" s="5">
        <f t="shared" si="0"/>
        <v>21302</v>
      </c>
      <c r="E20">
        <v>1</v>
      </c>
      <c r="F20" t="s">
        <v>605</v>
      </c>
      <c r="H20" s="4" t="s">
        <v>606</v>
      </c>
    </row>
    <row r="21" spans="2:8" x14ac:dyDescent="0.4">
      <c r="B21" s="5">
        <v>19</v>
      </c>
      <c r="C21" s="5">
        <v>20401</v>
      </c>
      <c r="D21" s="5">
        <f t="shared" si="0"/>
        <v>21401</v>
      </c>
      <c r="E21">
        <v>1</v>
      </c>
      <c r="F21" t="s">
        <v>607</v>
      </c>
      <c r="H21" s="4" t="s">
        <v>608</v>
      </c>
    </row>
    <row r="22" spans="2:8" x14ac:dyDescent="0.4">
      <c r="B22" s="5">
        <v>20</v>
      </c>
      <c r="C22" s="5">
        <v>20402</v>
      </c>
      <c r="D22" s="5">
        <f t="shared" si="0"/>
        <v>21402</v>
      </c>
      <c r="E22">
        <v>1</v>
      </c>
      <c r="F22" t="s">
        <v>609</v>
      </c>
      <c r="H22" s="4" t="s">
        <v>610</v>
      </c>
    </row>
    <row r="23" spans="2:8" x14ac:dyDescent="0.4">
      <c r="B23" s="5">
        <v>90</v>
      </c>
      <c r="C23" s="5">
        <v>20011</v>
      </c>
      <c r="D23" s="5">
        <f t="shared" si="0"/>
        <v>21011</v>
      </c>
      <c r="E23">
        <v>1</v>
      </c>
      <c r="F23" t="s">
        <v>611</v>
      </c>
      <c r="H23" s="4" t="s">
        <v>612</v>
      </c>
    </row>
    <row r="24" spans="2:8" x14ac:dyDescent="0.4">
      <c r="B24" s="5">
        <v>91</v>
      </c>
      <c r="C24" s="5">
        <v>20014</v>
      </c>
      <c r="D24" s="5">
        <f t="shared" si="0"/>
        <v>21014</v>
      </c>
      <c r="E24">
        <v>1</v>
      </c>
      <c r="F24" s="4" t="s">
        <v>621</v>
      </c>
      <c r="H24" s="4" t="s">
        <v>624</v>
      </c>
    </row>
    <row r="25" spans="2:8" x14ac:dyDescent="0.4">
      <c r="B25" s="5">
        <v>92</v>
      </c>
      <c r="C25" s="5">
        <v>20901</v>
      </c>
      <c r="D25" s="5">
        <f t="shared" ref="D25:D26" si="1">C25+1000</f>
        <v>21901</v>
      </c>
      <c r="E25">
        <v>1</v>
      </c>
      <c r="F25" s="4" t="s">
        <v>627</v>
      </c>
      <c r="G25" s="9" t="s">
        <v>628</v>
      </c>
      <c r="H25" s="4" t="s">
        <v>619</v>
      </c>
    </row>
    <row r="26" spans="2:8" x14ac:dyDescent="0.4">
      <c r="B26" s="5">
        <v>93</v>
      </c>
      <c r="C26" s="5">
        <v>20015</v>
      </c>
      <c r="D26" s="5">
        <f t="shared" si="1"/>
        <v>21015</v>
      </c>
      <c r="E26">
        <v>0</v>
      </c>
      <c r="F26" s="4"/>
    </row>
    <row r="27" spans="2:8" x14ac:dyDescent="0.4">
      <c r="B27" s="5">
        <v>94</v>
      </c>
      <c r="C27" s="5">
        <v>20902</v>
      </c>
      <c r="D27" s="5">
        <f t="shared" ref="D27" si="2">C27+1000</f>
        <v>21902</v>
      </c>
      <c r="E27">
        <v>0</v>
      </c>
    </row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EF1BA-8E27-4954-AAE0-D2AD0B5F922D}">
  <dimension ref="A1:L26"/>
  <sheetViews>
    <sheetView workbookViewId="0">
      <selection activeCell="F22" sqref="F22"/>
    </sheetView>
  </sheetViews>
  <sheetFormatPr defaultRowHeight="13.9" x14ac:dyDescent="0.4"/>
  <cols>
    <col min="3" max="3" width="12.46484375" customWidth="1"/>
  </cols>
  <sheetData>
    <row r="1" spans="1:12" x14ac:dyDescent="0.4">
      <c r="A1" s="1" t="s">
        <v>0</v>
      </c>
      <c r="B1" s="2" t="s">
        <v>1</v>
      </c>
      <c r="C1" s="4" t="s">
        <v>639</v>
      </c>
      <c r="D1" s="4" t="s">
        <v>469</v>
      </c>
      <c r="E1" t="s">
        <v>578</v>
      </c>
      <c r="F1" s="4"/>
      <c r="G1" t="s">
        <v>15</v>
      </c>
      <c r="H1" t="s">
        <v>15</v>
      </c>
      <c r="I1" s="4"/>
      <c r="J1" s="4"/>
      <c r="K1" s="4"/>
    </row>
    <row r="2" spans="1:12" x14ac:dyDescent="0.4">
      <c r="A2" s="1" t="s">
        <v>0</v>
      </c>
      <c r="B2" s="2"/>
      <c r="D2" s="4"/>
      <c r="J2" s="17"/>
    </row>
    <row r="3" spans="1:12" x14ac:dyDescent="0.4">
      <c r="A3" s="6" t="s">
        <v>9</v>
      </c>
      <c r="B3" s="2" t="s">
        <v>10</v>
      </c>
      <c r="C3" s="2" t="s">
        <v>10</v>
      </c>
      <c r="D3" s="4" t="s">
        <v>120</v>
      </c>
      <c r="E3" t="s">
        <v>11</v>
      </c>
      <c r="F3" s="2"/>
      <c r="G3" s="2"/>
      <c r="H3" s="8"/>
      <c r="I3" s="8"/>
      <c r="J3" s="2"/>
      <c r="K3" s="2"/>
    </row>
    <row r="4" spans="1:12" x14ac:dyDescent="0.4">
      <c r="A4" s="6" t="s">
        <v>14</v>
      </c>
      <c r="B4" s="2"/>
      <c r="D4" s="4"/>
      <c r="J4" s="7"/>
      <c r="K4" s="4"/>
    </row>
    <row r="5" spans="1:12" x14ac:dyDescent="0.4">
      <c r="A5" s="1" t="s">
        <v>15</v>
      </c>
      <c r="B5" s="2" t="s">
        <v>1</v>
      </c>
      <c r="C5" s="4" t="s">
        <v>634</v>
      </c>
      <c r="D5" s="4" t="s">
        <v>635</v>
      </c>
      <c r="E5" t="s">
        <v>580</v>
      </c>
      <c r="F5" s="4"/>
      <c r="G5" s="4"/>
      <c r="H5" s="4" t="s">
        <v>636</v>
      </c>
      <c r="I5" s="4"/>
      <c r="J5" s="7"/>
      <c r="K5" s="4"/>
    </row>
    <row r="6" spans="1:12" x14ac:dyDescent="0.4">
      <c r="A6" s="5"/>
      <c r="B6" s="2">
        <v>1</v>
      </c>
      <c r="C6" s="2">
        <v>1000</v>
      </c>
      <c r="D6" s="4" t="str">
        <f>G6&amp;(H6*10000)</f>
        <v>29,2,500</v>
      </c>
      <c r="E6" s="4"/>
      <c r="F6" s="20"/>
      <c r="G6" s="21" t="s">
        <v>638</v>
      </c>
      <c r="H6" s="27">
        <v>0.05</v>
      </c>
      <c r="I6" s="21"/>
      <c r="J6" s="22"/>
      <c r="K6" s="24"/>
      <c r="L6" s="27"/>
    </row>
    <row r="7" spans="1:12" x14ac:dyDescent="0.4">
      <c r="A7" s="5"/>
      <c r="B7" s="2">
        <v>2</v>
      </c>
      <c r="C7" s="2">
        <v>5000</v>
      </c>
      <c r="D7" s="4" t="str">
        <f t="shared" ref="D7:D21" si="0">G7&amp;(H7*10000)</f>
        <v>29,2,1000</v>
      </c>
      <c r="E7" s="4"/>
      <c r="F7" s="20"/>
      <c r="G7" s="21" t="s">
        <v>638</v>
      </c>
      <c r="H7" s="27">
        <v>0.1</v>
      </c>
      <c r="I7" s="21"/>
      <c r="J7" s="22"/>
      <c r="K7" s="24"/>
      <c r="L7" s="27"/>
    </row>
    <row r="8" spans="1:12" x14ac:dyDescent="0.4">
      <c r="A8" s="5"/>
      <c r="B8" s="2">
        <v>3</v>
      </c>
      <c r="C8" s="2">
        <v>10000</v>
      </c>
      <c r="D8" s="4" t="str">
        <f t="shared" si="0"/>
        <v>29,2,1500</v>
      </c>
      <c r="E8" s="4"/>
      <c r="F8" s="20"/>
      <c r="G8" s="21" t="s">
        <v>637</v>
      </c>
      <c r="H8" s="27">
        <v>0.15</v>
      </c>
      <c r="I8" s="21"/>
      <c r="J8" s="22"/>
      <c r="K8" s="24"/>
      <c r="L8" s="27"/>
    </row>
    <row r="9" spans="1:12" x14ac:dyDescent="0.4">
      <c r="A9" s="5"/>
      <c r="B9" s="2">
        <v>4</v>
      </c>
      <c r="C9" s="2">
        <v>20000</v>
      </c>
      <c r="D9" s="4" t="str">
        <f t="shared" si="0"/>
        <v>29,2,2000</v>
      </c>
      <c r="E9" s="4"/>
      <c r="F9" s="20"/>
      <c r="G9" s="21" t="s">
        <v>637</v>
      </c>
      <c r="H9" s="27">
        <v>0.2</v>
      </c>
      <c r="I9" s="21"/>
      <c r="J9" s="22"/>
      <c r="K9" s="24"/>
      <c r="L9" s="27"/>
    </row>
    <row r="10" spans="1:12" x14ac:dyDescent="0.4">
      <c r="A10" s="5"/>
      <c r="B10" s="2">
        <v>5</v>
      </c>
      <c r="C10" s="2">
        <v>40000</v>
      </c>
      <c r="D10" s="4" t="str">
        <f t="shared" si="0"/>
        <v>29,2,2500</v>
      </c>
      <c r="E10" s="4"/>
      <c r="F10" s="20"/>
      <c r="G10" s="21" t="s">
        <v>637</v>
      </c>
      <c r="H10" s="27">
        <v>0.25</v>
      </c>
      <c r="I10" s="21"/>
      <c r="J10" s="22"/>
      <c r="K10" s="24"/>
      <c r="L10" s="27"/>
    </row>
    <row r="11" spans="1:12" x14ac:dyDescent="0.4">
      <c r="A11" s="5"/>
      <c r="B11" s="2">
        <v>6</v>
      </c>
      <c r="C11" s="2">
        <v>70000</v>
      </c>
      <c r="D11" s="4" t="str">
        <f t="shared" si="0"/>
        <v>29,2,3000</v>
      </c>
      <c r="E11" s="4"/>
      <c r="F11" s="2"/>
      <c r="G11" s="21" t="s">
        <v>637</v>
      </c>
      <c r="H11" s="27">
        <v>0.3</v>
      </c>
      <c r="I11" s="21"/>
      <c r="J11" s="22"/>
      <c r="K11" s="24"/>
      <c r="L11" s="27"/>
    </row>
    <row r="12" spans="1:12" x14ac:dyDescent="0.4">
      <c r="A12" s="5"/>
      <c r="B12" s="2">
        <v>7</v>
      </c>
      <c r="C12" s="2">
        <v>100000</v>
      </c>
      <c r="D12" s="4" t="str">
        <f t="shared" si="0"/>
        <v>29,2,3500</v>
      </c>
      <c r="E12" s="4"/>
      <c r="F12" s="2"/>
      <c r="G12" s="21" t="s">
        <v>637</v>
      </c>
      <c r="H12" s="27">
        <v>0.35</v>
      </c>
      <c r="I12" s="21"/>
      <c r="J12" s="22"/>
      <c r="K12" s="24"/>
      <c r="L12" s="27"/>
    </row>
    <row r="13" spans="1:12" x14ac:dyDescent="0.4">
      <c r="B13" s="2">
        <v>8</v>
      </c>
      <c r="C13" s="2">
        <v>200000</v>
      </c>
      <c r="D13" s="4" t="str">
        <f t="shared" si="0"/>
        <v>29,2,4000</v>
      </c>
      <c r="E13" s="4"/>
      <c r="G13" s="21" t="s">
        <v>637</v>
      </c>
      <c r="H13" s="27">
        <v>0.4</v>
      </c>
      <c r="L13" s="27"/>
    </row>
    <row r="14" spans="1:12" x14ac:dyDescent="0.4">
      <c r="B14" s="2">
        <v>9</v>
      </c>
      <c r="C14" s="2">
        <v>400000</v>
      </c>
      <c r="D14" s="4" t="str">
        <f t="shared" si="0"/>
        <v>29,2,4500</v>
      </c>
      <c r="E14" s="4"/>
      <c r="G14" s="21" t="s">
        <v>637</v>
      </c>
      <c r="H14" s="27">
        <v>0.45</v>
      </c>
      <c r="L14" s="27"/>
    </row>
    <row r="15" spans="1:12" x14ac:dyDescent="0.4">
      <c r="B15" s="2">
        <v>10</v>
      </c>
      <c r="C15" s="2">
        <v>700000</v>
      </c>
      <c r="D15" s="4" t="str">
        <f t="shared" si="0"/>
        <v>29,2,5000</v>
      </c>
      <c r="E15" s="4"/>
      <c r="G15" s="21" t="s">
        <v>637</v>
      </c>
      <c r="H15" s="27">
        <v>0.5</v>
      </c>
      <c r="L15" s="27"/>
    </row>
    <row r="16" spans="1:12" x14ac:dyDescent="0.4">
      <c r="B16" s="2">
        <v>11</v>
      </c>
      <c r="C16" s="2">
        <v>1000000</v>
      </c>
      <c r="D16" s="4" t="str">
        <f t="shared" si="0"/>
        <v>29,2,5500</v>
      </c>
      <c r="E16" s="4"/>
      <c r="G16" s="21" t="s">
        <v>637</v>
      </c>
      <c r="H16" s="27">
        <v>0.55000000000000004</v>
      </c>
      <c r="L16" s="27"/>
    </row>
    <row r="17" spans="2:12" x14ac:dyDescent="0.4">
      <c r="B17" s="2">
        <v>12</v>
      </c>
      <c r="C17" s="2">
        <v>2000000</v>
      </c>
      <c r="D17" s="4" t="str">
        <f t="shared" si="0"/>
        <v>29,2,6000</v>
      </c>
      <c r="E17" s="4"/>
      <c r="G17" s="21" t="s">
        <v>637</v>
      </c>
      <c r="H17" s="27">
        <v>0.6</v>
      </c>
      <c r="L17" s="27"/>
    </row>
    <row r="18" spans="2:12" x14ac:dyDescent="0.4">
      <c r="B18" s="2">
        <v>13</v>
      </c>
      <c r="C18" s="2">
        <v>4000000</v>
      </c>
      <c r="D18" s="4" t="str">
        <f t="shared" si="0"/>
        <v>29,2,6500</v>
      </c>
      <c r="E18" s="4"/>
      <c r="G18" s="21" t="s">
        <v>637</v>
      </c>
      <c r="H18" s="27">
        <v>0.65</v>
      </c>
      <c r="L18" s="27"/>
    </row>
    <row r="19" spans="2:12" x14ac:dyDescent="0.4">
      <c r="B19" s="2">
        <v>14</v>
      </c>
      <c r="C19" s="2">
        <v>6000000</v>
      </c>
      <c r="D19" s="4" t="str">
        <f t="shared" si="0"/>
        <v>29,2,7000</v>
      </c>
      <c r="E19" s="4"/>
      <c r="G19" s="21" t="s">
        <v>637</v>
      </c>
      <c r="H19" s="27">
        <v>0.7</v>
      </c>
      <c r="L19" s="27"/>
    </row>
    <row r="20" spans="2:12" x14ac:dyDescent="0.4">
      <c r="B20" s="2">
        <v>15</v>
      </c>
      <c r="C20" s="2">
        <v>8000000</v>
      </c>
      <c r="D20" s="4" t="str">
        <f t="shared" si="0"/>
        <v>29,2,7500</v>
      </c>
      <c r="E20" s="4"/>
      <c r="G20" s="21" t="s">
        <v>637</v>
      </c>
      <c r="H20" s="27">
        <v>0.75</v>
      </c>
      <c r="L20" s="27"/>
    </row>
    <row r="21" spans="2:12" x14ac:dyDescent="0.4">
      <c r="B21" s="2">
        <v>16</v>
      </c>
      <c r="C21" s="2">
        <v>10000000</v>
      </c>
      <c r="D21" s="4" t="str">
        <f t="shared" si="0"/>
        <v>29,2,8000</v>
      </c>
      <c r="E21" s="4"/>
      <c r="G21" s="21" t="s">
        <v>637</v>
      </c>
      <c r="H21" s="27">
        <v>0.8</v>
      </c>
      <c r="L21" s="27"/>
    </row>
    <row r="22" spans="2:12" x14ac:dyDescent="0.4">
      <c r="C22" s="2"/>
    </row>
    <row r="23" spans="2:12" x14ac:dyDescent="0.4">
      <c r="C23" s="2"/>
    </row>
    <row r="24" spans="2:12" x14ac:dyDescent="0.4">
      <c r="C24" s="2"/>
    </row>
    <row r="25" spans="2:12" x14ac:dyDescent="0.4">
      <c r="C25" s="2"/>
    </row>
    <row r="26" spans="2:12" x14ac:dyDescent="0.4">
      <c r="C26" s="2"/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角色主表</vt:lpstr>
      <vt:lpstr>角色升级表</vt:lpstr>
      <vt:lpstr>角色资源表</vt:lpstr>
      <vt:lpstr>角色称号表</vt:lpstr>
      <vt:lpstr>角色资源组表</vt:lpstr>
      <vt:lpstr>角色羁绊表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斌 陈</dc:creator>
  <cp:lastModifiedBy>陈斌</cp:lastModifiedBy>
  <dcterms:created xsi:type="dcterms:W3CDTF">2024-06-14T00:59:00Z</dcterms:created>
  <dcterms:modified xsi:type="dcterms:W3CDTF">2025-01-26T01:50:32Z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29229A4BC2754A3E9CFC08F08AC10872_12</vt:lpwstr>
  </property>
  <property fmtid="{D5CDD505-2E9C-101B-9397-08002B2CF9AE}" pid="3" name="KSOProductBuildVer">
    <vt:lpwstr>2052-12.1.0.18912</vt:lpwstr>
  </property>
</Properties>
</file>