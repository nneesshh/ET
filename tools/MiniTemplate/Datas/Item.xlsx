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39DDC1CE-B11A-43A6-972F-831D8B106FE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道具主表" sheetId="1" r:id="rId1"/>
    <sheet name="道具资源表" sheetId="2" r:id="rId2"/>
    <sheet name="道具合成表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4" i="1" l="1"/>
  <c r="L334" i="1"/>
  <c r="N334" i="1" s="1"/>
  <c r="R333" i="1"/>
  <c r="L333" i="1"/>
  <c r="N333" i="1" s="1"/>
  <c r="R286" i="1"/>
  <c r="L286" i="1"/>
  <c r="N286" i="1" s="1"/>
  <c r="R260" i="1"/>
  <c r="L260" i="1"/>
  <c r="N260" i="1" s="1"/>
  <c r="R39" i="1"/>
  <c r="S39" i="1" s="1"/>
  <c r="R63" i="1" l="1"/>
  <c r="S63" i="1" s="1"/>
  <c r="R62" i="1"/>
  <c r="S62" i="1" s="1"/>
  <c r="R61" i="1"/>
  <c r="S61" i="1" s="1"/>
  <c r="R60" i="1"/>
  <c r="S60" i="1" s="1"/>
  <c r="R59" i="1"/>
  <c r="S59" i="1" s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S50" i="1" s="1"/>
  <c r="R49" i="1"/>
  <c r="S49" i="1" s="1"/>
  <c r="R48" i="1"/>
  <c r="S48" i="1" s="1"/>
  <c r="R271" i="1"/>
  <c r="L271" i="1"/>
  <c r="N271" i="1" s="1"/>
  <c r="R245" i="1"/>
  <c r="L245" i="1"/>
  <c r="N245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32" i="1"/>
  <c r="L332" i="1"/>
  <c r="N332" i="1" s="1"/>
  <c r="R331" i="1"/>
  <c r="L331" i="1"/>
  <c r="N331" i="1" s="1"/>
  <c r="R330" i="1"/>
  <c r="L330" i="1"/>
  <c r="N330" i="1" s="1"/>
  <c r="R329" i="1"/>
  <c r="L329" i="1"/>
  <c r="N329" i="1" s="1"/>
  <c r="R328" i="1"/>
  <c r="L328" i="1"/>
  <c r="N328" i="1" s="1"/>
  <c r="R38" i="1"/>
  <c r="S38" i="1" s="1"/>
  <c r="R37" i="1"/>
  <c r="S37" i="1" s="1"/>
  <c r="R36" i="1"/>
  <c r="S36" i="1" s="1"/>
  <c r="R232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64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135" i="1"/>
  <c r="N127" i="1"/>
  <c r="N119" i="1"/>
  <c r="N111" i="1"/>
  <c r="N103" i="1"/>
  <c r="N95" i="1"/>
  <c r="N87" i="1"/>
  <c r="N79" i="1"/>
  <c r="N71" i="1"/>
  <c r="R234" i="1"/>
  <c r="N234" i="1"/>
  <c r="R233" i="1"/>
  <c r="N233" i="1"/>
  <c r="N232" i="1"/>
  <c r="R327" i="1"/>
  <c r="L327" i="1"/>
  <c r="N327" i="1" s="1"/>
  <c r="R285" i="1"/>
  <c r="L285" i="1"/>
  <c r="N285" i="1" s="1"/>
  <c r="R259" i="1"/>
  <c r="L259" i="1"/>
  <c r="N259" i="1" s="1"/>
  <c r="R326" i="1"/>
  <c r="L326" i="1"/>
  <c r="N326" i="1" s="1"/>
  <c r="R35" i="1"/>
  <c r="S35" i="1" s="1"/>
  <c r="R34" i="1"/>
  <c r="S34" i="1" s="1"/>
  <c r="R270" i="1"/>
  <c r="L270" i="1"/>
  <c r="N270" i="1" s="1"/>
  <c r="R290" i="1"/>
  <c r="L290" i="1"/>
  <c r="N290" i="1" s="1"/>
  <c r="R244" i="1"/>
  <c r="L244" i="1"/>
  <c r="N244" i="1" s="1"/>
  <c r="R292" i="1"/>
  <c r="R293" i="1"/>
  <c r="L292" i="1"/>
  <c r="L293" i="1"/>
  <c r="R291" i="1"/>
  <c r="L291" i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L362" i="1"/>
  <c r="N362" i="1" s="1"/>
  <c r="L380" i="1"/>
  <c r="N380" i="1" s="1"/>
  <c r="L381" i="1"/>
  <c r="N381" i="1" s="1"/>
  <c r="L382" i="1"/>
  <c r="N382" i="1" s="1"/>
  <c r="L383" i="1"/>
  <c r="N383" i="1" s="1"/>
  <c r="L388" i="1"/>
  <c r="N388" i="1" s="1"/>
  <c r="L389" i="1"/>
  <c r="N389" i="1" s="1"/>
  <c r="L390" i="1"/>
  <c r="N390" i="1" s="1"/>
  <c r="L379" i="1"/>
  <c r="N379" i="1" s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L377" i="1"/>
  <c r="N377" i="1" s="1"/>
  <c r="R376" i="1"/>
  <c r="R375" i="1"/>
  <c r="R374" i="1"/>
  <c r="R373" i="1"/>
  <c r="R372" i="1"/>
  <c r="R371" i="1"/>
  <c r="R370" i="1"/>
  <c r="L370" i="1"/>
  <c r="N370" i="1" s="1"/>
  <c r="R369" i="1"/>
  <c r="R368" i="1"/>
  <c r="R367" i="1"/>
  <c r="L367" i="1"/>
  <c r="N367" i="1" s="1"/>
  <c r="R366" i="1"/>
  <c r="L366" i="1"/>
  <c r="N366" i="1" s="1"/>
  <c r="R365" i="1"/>
  <c r="L365" i="1"/>
  <c r="N365" i="1" s="1"/>
  <c r="R364" i="1"/>
  <c r="L364" i="1"/>
  <c r="N364" i="1" s="1"/>
  <c r="R363" i="1"/>
  <c r="R362" i="1"/>
  <c r="R361" i="1"/>
  <c r="R360" i="1"/>
  <c r="L360" i="1"/>
  <c r="N360" i="1" s="1"/>
  <c r="R359" i="1"/>
  <c r="L359" i="1"/>
  <c r="N359" i="1" s="1"/>
  <c r="R358" i="1"/>
  <c r="L358" i="1"/>
  <c r="N358" i="1" s="1"/>
  <c r="R357" i="1"/>
  <c r="L357" i="1"/>
  <c r="N357" i="1" s="1"/>
  <c r="R356" i="1"/>
  <c r="L356" i="1"/>
  <c r="N356" i="1" s="1"/>
  <c r="R355" i="1"/>
  <c r="L355" i="1"/>
  <c r="N355" i="1" s="1"/>
  <c r="R354" i="1"/>
  <c r="L354" i="1"/>
  <c r="N354" i="1" s="1"/>
  <c r="R353" i="1"/>
  <c r="L353" i="1"/>
  <c r="N353" i="1" s="1"/>
  <c r="R352" i="1"/>
  <c r="L352" i="1"/>
  <c r="N352" i="1" s="1"/>
  <c r="R351" i="1"/>
  <c r="L351" i="1"/>
  <c r="N351" i="1" s="1"/>
  <c r="R350" i="1"/>
  <c r="L350" i="1"/>
  <c r="N350" i="1" s="1"/>
  <c r="R349" i="1"/>
  <c r="L349" i="1"/>
  <c r="N349" i="1" s="1"/>
  <c r="R348" i="1"/>
  <c r="L348" i="1"/>
  <c r="N348" i="1" s="1"/>
  <c r="R347" i="1"/>
  <c r="L347" i="1"/>
  <c r="N347" i="1" s="1"/>
  <c r="R346" i="1"/>
  <c r="L346" i="1"/>
  <c r="N346" i="1" s="1"/>
  <c r="R345" i="1"/>
  <c r="L345" i="1"/>
  <c r="N345" i="1" s="1"/>
  <c r="R344" i="1"/>
  <c r="L344" i="1"/>
  <c r="N344" i="1" s="1"/>
  <c r="R343" i="1"/>
  <c r="L343" i="1"/>
  <c r="N343" i="1" s="1"/>
  <c r="R342" i="1"/>
  <c r="L342" i="1"/>
  <c r="N342" i="1" s="1"/>
  <c r="R341" i="1"/>
  <c r="L341" i="1"/>
  <c r="N341" i="1" s="1"/>
  <c r="R340" i="1"/>
  <c r="L340" i="1"/>
  <c r="N340" i="1" s="1"/>
  <c r="R339" i="1"/>
  <c r="L339" i="1"/>
  <c r="N339" i="1" s="1"/>
  <c r="R338" i="1"/>
  <c r="L338" i="1"/>
  <c r="N338" i="1" s="1"/>
  <c r="R337" i="1"/>
  <c r="L337" i="1"/>
  <c r="N337" i="1" s="1"/>
  <c r="R336" i="1"/>
  <c r="L336" i="1"/>
  <c r="N336" i="1" s="1"/>
  <c r="R335" i="1"/>
  <c r="L335" i="1"/>
  <c r="N335" i="1" s="1"/>
  <c r="R29" i="1"/>
  <c r="S29" i="1" s="1"/>
  <c r="R28" i="1"/>
  <c r="S28" i="1" s="1"/>
  <c r="R33" i="1"/>
  <c r="S33" i="1" s="1"/>
  <c r="R32" i="1"/>
  <c r="S32" i="1" s="1"/>
  <c r="R31" i="1"/>
  <c r="S31" i="1" s="1"/>
  <c r="R30" i="1"/>
  <c r="S30" i="1" s="1"/>
  <c r="R17" i="1"/>
  <c r="S17" i="1" s="1"/>
  <c r="R284" i="1"/>
  <c r="L284" i="1"/>
  <c r="N284" i="1" s="1"/>
  <c r="R283" i="1"/>
  <c r="L283" i="1"/>
  <c r="N283" i="1" s="1"/>
  <c r="R258" i="1"/>
  <c r="L258" i="1"/>
  <c r="N258" i="1" s="1"/>
  <c r="R257" i="1"/>
  <c r="L257" i="1"/>
  <c r="N257" i="1" s="1"/>
  <c r="N65" i="1"/>
  <c r="N66" i="1"/>
  <c r="N67" i="1"/>
  <c r="N68" i="1"/>
  <c r="N69" i="1"/>
  <c r="N70" i="1"/>
  <c r="N72" i="1"/>
  <c r="N73" i="1"/>
  <c r="N74" i="1"/>
  <c r="N75" i="1"/>
  <c r="N76" i="1"/>
  <c r="N77" i="1"/>
  <c r="N78" i="1"/>
  <c r="N80" i="1"/>
  <c r="N81" i="1"/>
  <c r="N82" i="1"/>
  <c r="N83" i="1"/>
  <c r="N84" i="1"/>
  <c r="N85" i="1"/>
  <c r="N86" i="1"/>
  <c r="N88" i="1"/>
  <c r="N89" i="1"/>
  <c r="N90" i="1"/>
  <c r="N91" i="1"/>
  <c r="N92" i="1"/>
  <c r="N93" i="1"/>
  <c r="N94" i="1"/>
  <c r="N96" i="1"/>
  <c r="N97" i="1"/>
  <c r="N98" i="1"/>
  <c r="N99" i="1"/>
  <c r="N100" i="1"/>
  <c r="N101" i="1"/>
  <c r="N102" i="1"/>
  <c r="N104" i="1"/>
  <c r="N105" i="1"/>
  <c r="N106" i="1"/>
  <c r="N107" i="1"/>
  <c r="N108" i="1"/>
  <c r="N109" i="1"/>
  <c r="N110" i="1"/>
  <c r="N112" i="1"/>
  <c r="N113" i="1"/>
  <c r="N114" i="1"/>
  <c r="N115" i="1"/>
  <c r="N116" i="1"/>
  <c r="N117" i="1"/>
  <c r="N118" i="1"/>
  <c r="N120" i="1"/>
  <c r="N121" i="1"/>
  <c r="N122" i="1"/>
  <c r="N123" i="1"/>
  <c r="N124" i="1"/>
  <c r="N125" i="1"/>
  <c r="N126" i="1"/>
  <c r="N128" i="1"/>
  <c r="N129" i="1"/>
  <c r="N130" i="1"/>
  <c r="N131" i="1"/>
  <c r="N132" i="1"/>
  <c r="N133" i="1"/>
  <c r="N134" i="1"/>
  <c r="N136" i="1"/>
  <c r="N137" i="1"/>
  <c r="N138" i="1"/>
  <c r="N139" i="1"/>
  <c r="N140" i="1"/>
  <c r="N141" i="1"/>
  <c r="N142" i="1"/>
  <c r="N144" i="1"/>
  <c r="N145" i="1"/>
  <c r="N146" i="1"/>
  <c r="N147" i="1"/>
  <c r="N148" i="1"/>
  <c r="N149" i="1"/>
  <c r="N150" i="1"/>
  <c r="N152" i="1"/>
  <c r="N153" i="1"/>
  <c r="N154" i="1"/>
  <c r="N155" i="1"/>
  <c r="N156" i="1"/>
  <c r="N157" i="1"/>
  <c r="N158" i="1"/>
  <c r="N160" i="1"/>
  <c r="N161" i="1"/>
  <c r="N162" i="1"/>
  <c r="N163" i="1"/>
  <c r="N164" i="1"/>
  <c r="N165" i="1"/>
  <c r="N166" i="1"/>
  <c r="N168" i="1"/>
  <c r="N169" i="1"/>
  <c r="N170" i="1"/>
  <c r="N171" i="1"/>
  <c r="N172" i="1"/>
  <c r="N173" i="1"/>
  <c r="N174" i="1"/>
  <c r="N176" i="1"/>
  <c r="N177" i="1"/>
  <c r="N178" i="1"/>
  <c r="N179" i="1"/>
  <c r="N180" i="1"/>
  <c r="N181" i="1"/>
  <c r="N182" i="1"/>
  <c r="N184" i="1"/>
  <c r="N185" i="1"/>
  <c r="N186" i="1"/>
  <c r="N187" i="1"/>
  <c r="N188" i="1"/>
  <c r="N189" i="1"/>
  <c r="N190" i="1"/>
  <c r="N192" i="1"/>
  <c r="N193" i="1"/>
  <c r="N194" i="1"/>
  <c r="N195" i="1"/>
  <c r="N196" i="1"/>
  <c r="N197" i="1"/>
  <c r="N198" i="1"/>
  <c r="N200" i="1"/>
  <c r="N201" i="1"/>
  <c r="N202" i="1"/>
  <c r="N203" i="1"/>
  <c r="N204" i="1"/>
  <c r="N205" i="1"/>
  <c r="N206" i="1"/>
  <c r="N208" i="1"/>
  <c r="N209" i="1"/>
  <c r="N210" i="1"/>
  <c r="N211" i="1"/>
  <c r="N212" i="1"/>
  <c r="N213" i="1"/>
  <c r="N214" i="1"/>
  <c r="N216" i="1"/>
  <c r="N217" i="1"/>
  <c r="N218" i="1"/>
  <c r="N219" i="1"/>
  <c r="N220" i="1"/>
  <c r="N221" i="1"/>
  <c r="N222" i="1"/>
  <c r="N224" i="1"/>
  <c r="N225" i="1"/>
  <c r="N226" i="1"/>
  <c r="N227" i="1"/>
  <c r="N228" i="1"/>
  <c r="N229" i="1"/>
  <c r="N230" i="1"/>
  <c r="N64" i="1"/>
  <c r="R20" i="1"/>
  <c r="S20" i="1" s="1"/>
  <c r="R21" i="1"/>
  <c r="S21" i="1" s="1"/>
  <c r="R289" i="1"/>
  <c r="L289" i="1"/>
  <c r="R288" i="1"/>
  <c r="L288" i="1"/>
  <c r="R287" i="1"/>
  <c r="L287" i="1"/>
  <c r="N287" i="1" s="1"/>
  <c r="N288" i="1" s="1"/>
  <c r="N289" i="1" s="1"/>
  <c r="R19" i="1"/>
  <c r="S19" i="1" s="1"/>
  <c r="L372" i="1" l="1"/>
  <c r="N372" i="1" s="1"/>
  <c r="L384" i="1"/>
  <c r="N384" i="1" s="1"/>
  <c r="L375" i="1"/>
  <c r="N375" i="1" s="1"/>
  <c r="L387" i="1"/>
  <c r="N387" i="1" s="1"/>
  <c r="L385" i="1"/>
  <c r="N385" i="1" s="1"/>
  <c r="L373" i="1"/>
  <c r="N373" i="1" s="1"/>
  <c r="L363" i="1"/>
  <c r="N363" i="1" s="1"/>
  <c r="L361" i="1"/>
  <c r="N361" i="1" s="1"/>
  <c r="L371" i="1"/>
  <c r="N371" i="1" s="1"/>
  <c r="L368" i="1"/>
  <c r="N368" i="1" s="1"/>
  <c r="L378" i="1"/>
  <c r="N378" i="1" s="1"/>
  <c r="L369" i="1"/>
  <c r="N369" i="1" s="1"/>
  <c r="L376" i="1"/>
  <c r="N376" i="1" s="1"/>
  <c r="R269" i="1"/>
  <c r="L269" i="1"/>
  <c r="R268" i="1"/>
  <c r="L268" i="1"/>
  <c r="R267" i="1"/>
  <c r="L267" i="1"/>
  <c r="N267" i="1" s="1"/>
  <c r="N268" i="1" s="1"/>
  <c r="N269" i="1" s="1"/>
  <c r="R243" i="1"/>
  <c r="L243" i="1"/>
  <c r="R242" i="1"/>
  <c r="L242" i="1"/>
  <c r="R241" i="1"/>
  <c r="L241" i="1"/>
  <c r="N241" i="1" s="1"/>
  <c r="N242" i="1" s="1"/>
  <c r="N243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8" i="1"/>
  <c r="S18" i="1" s="1"/>
  <c r="R235" i="1"/>
  <c r="R236" i="1"/>
  <c r="R237" i="1"/>
  <c r="R238" i="1"/>
  <c r="R239" i="1"/>
  <c r="R240" i="1"/>
  <c r="R246" i="1"/>
  <c r="R247" i="1"/>
  <c r="R248" i="1"/>
  <c r="R249" i="1"/>
  <c r="R250" i="1"/>
  <c r="R251" i="1"/>
  <c r="R252" i="1"/>
  <c r="R253" i="1"/>
  <c r="R254" i="1"/>
  <c r="R255" i="1"/>
  <c r="R256" i="1"/>
  <c r="R261" i="1"/>
  <c r="R262" i="1"/>
  <c r="R263" i="1"/>
  <c r="R264" i="1"/>
  <c r="R265" i="1"/>
  <c r="R266" i="1"/>
  <c r="R272" i="1"/>
  <c r="R273" i="1"/>
  <c r="R274" i="1"/>
  <c r="R275" i="1"/>
  <c r="R276" i="1"/>
  <c r="R277" i="1"/>
  <c r="R278" i="1"/>
  <c r="R279" i="1"/>
  <c r="R280" i="1"/>
  <c r="R281" i="1"/>
  <c r="R282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6" i="1"/>
  <c r="S6" i="1" s="1"/>
  <c r="L325" i="1"/>
  <c r="N325" i="1" s="1"/>
  <c r="L324" i="1"/>
  <c r="N324" i="1" s="1"/>
  <c r="L323" i="1"/>
  <c r="N323" i="1" s="1"/>
  <c r="L322" i="1"/>
  <c r="N322" i="1" s="1"/>
  <c r="L321" i="1"/>
  <c r="N321" i="1" s="1"/>
  <c r="L320" i="1"/>
  <c r="N320" i="1" s="1"/>
  <c r="L319" i="1"/>
  <c r="N319" i="1" s="1"/>
  <c r="L318" i="1"/>
  <c r="N318" i="1" s="1"/>
  <c r="L317" i="1"/>
  <c r="N317" i="1" s="1"/>
  <c r="L316" i="1"/>
  <c r="N316" i="1" s="1"/>
  <c r="L315" i="1"/>
  <c r="N315" i="1" s="1"/>
  <c r="L314" i="1"/>
  <c r="N314" i="1" s="1"/>
  <c r="L313" i="1"/>
  <c r="N313" i="1" s="1"/>
  <c r="L312" i="1"/>
  <c r="N312" i="1" s="1"/>
  <c r="L311" i="1"/>
  <c r="N311" i="1" s="1"/>
  <c r="L310" i="1"/>
  <c r="N310" i="1" s="1"/>
  <c r="L309" i="1"/>
  <c r="N309" i="1" s="1"/>
  <c r="L308" i="1"/>
  <c r="N308" i="1" s="1"/>
  <c r="L307" i="1"/>
  <c r="N307" i="1" s="1"/>
  <c r="L306" i="1"/>
  <c r="N306" i="1" s="1"/>
  <c r="L305" i="1"/>
  <c r="N305" i="1" s="1"/>
  <c r="L304" i="1"/>
  <c r="N304" i="1" s="1"/>
  <c r="L303" i="1"/>
  <c r="N303" i="1" s="1"/>
  <c r="L302" i="1"/>
  <c r="N302" i="1" s="1"/>
  <c r="L301" i="1"/>
  <c r="N301" i="1" s="1"/>
  <c r="L300" i="1"/>
  <c r="N300" i="1" s="1"/>
  <c r="L299" i="1"/>
  <c r="N299" i="1" s="1"/>
  <c r="L298" i="1"/>
  <c r="N298" i="1" s="1"/>
  <c r="L297" i="1"/>
  <c r="N297" i="1" s="1"/>
  <c r="L296" i="1"/>
  <c r="N296" i="1" s="1"/>
  <c r="L295" i="1"/>
  <c r="N295" i="1" s="1"/>
  <c r="L294" i="1"/>
  <c r="N294" i="1" s="1"/>
  <c r="L282" i="1"/>
  <c r="N282" i="1" s="1"/>
  <c r="L281" i="1"/>
  <c r="N281" i="1" s="1"/>
  <c r="L280" i="1"/>
  <c r="N280" i="1" s="1"/>
  <c r="L279" i="1"/>
  <c r="N279" i="1" s="1"/>
  <c r="L278" i="1"/>
  <c r="N278" i="1" s="1"/>
  <c r="L277" i="1"/>
  <c r="N277" i="1" s="1"/>
  <c r="L276" i="1"/>
  <c r="N276" i="1" s="1"/>
  <c r="L275" i="1"/>
  <c r="N275" i="1" s="1"/>
  <c r="L274" i="1"/>
  <c r="N274" i="1" s="1"/>
  <c r="L273" i="1"/>
  <c r="N273" i="1" s="1"/>
  <c r="L272" i="1"/>
  <c r="N272" i="1" s="1"/>
  <c r="L266" i="1"/>
  <c r="N266" i="1" s="1"/>
  <c r="L265" i="1"/>
  <c r="N265" i="1" s="1"/>
  <c r="L264" i="1"/>
  <c r="N264" i="1" s="1"/>
  <c r="L263" i="1"/>
  <c r="N263" i="1" s="1"/>
  <c r="L262" i="1"/>
  <c r="N262" i="1" s="1"/>
  <c r="L261" i="1"/>
  <c r="N261" i="1" s="1"/>
  <c r="L256" i="1"/>
  <c r="N256" i="1" s="1"/>
  <c r="L255" i="1"/>
  <c r="N255" i="1" s="1"/>
  <c r="L254" i="1"/>
  <c r="N254" i="1" s="1"/>
  <c r="L253" i="1"/>
  <c r="N253" i="1" s="1"/>
  <c r="L252" i="1"/>
  <c r="N252" i="1" s="1"/>
  <c r="L251" i="1"/>
  <c r="N251" i="1" s="1"/>
  <c r="L250" i="1"/>
  <c r="N250" i="1" s="1"/>
  <c r="L249" i="1"/>
  <c r="N249" i="1" s="1"/>
  <c r="L248" i="1"/>
  <c r="N248" i="1" s="1"/>
  <c r="L247" i="1"/>
  <c r="N247" i="1" s="1"/>
  <c r="L246" i="1"/>
  <c r="N246" i="1" s="1"/>
  <c r="L240" i="1"/>
  <c r="N240" i="1" s="1"/>
  <c r="L239" i="1"/>
  <c r="N239" i="1" s="1"/>
  <c r="L238" i="1"/>
  <c r="N238" i="1" s="1"/>
  <c r="L237" i="1"/>
  <c r="N237" i="1" s="1"/>
  <c r="L236" i="1"/>
  <c r="N236" i="1" s="1"/>
  <c r="L235" i="1"/>
  <c r="N235" i="1" s="1"/>
  <c r="L374" i="1" l="1"/>
  <c r="N374" i="1" s="1"/>
  <c r="L386" i="1"/>
  <c r="N38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0白1绿2蓝3紫4金
5红6粉7彩</t>
        </r>
      </text>
    </comment>
    <comment ref="F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1货币
2存在增加属性
3突破消耗增加属性
4修炼速度道具
5宝箱类
6常规道具
7功法类
8皮肤
9法宝
10坐骑
11宠物
12仙缘宝箱
13礼物类道具
14本宗门场景自动复活道具
15宠物道具
16宠物装备
17称号
18碎片合成道具
19灵宝</t>
        </r>
      </text>
    </comment>
    <comment ref="I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  <comment ref="K19" authorId="0" shapeId="0" xr:uid="{35935CAF-3364-498A-9434-FE3D748106B9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重置次数</t>
        </r>
      </text>
    </comment>
    <comment ref="K20" authorId="0" shapeId="0" xr:uid="{D7A2F4F0-1080-4CC3-8FC1-119207B17A56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该道具对应的接入礼物ID</t>
        </r>
      </text>
    </comment>
    <comment ref="K39" authorId="0" shapeId="0" xr:uid="{60F02224-5FDA-491D-AF7D-5D2650BA3347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重置次数</t>
        </r>
      </text>
    </comment>
    <comment ref="K40" authorId="0" shapeId="0" xr:uid="{E0D12F67-33FC-4263-9880-B6F8DE3EFF4F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该道具对应的接入礼物ID</t>
        </r>
      </text>
    </comment>
    <comment ref="K48" authorId="0" shapeId="0" xr:uid="{39CDA73C-CC61-407B-BC7A-6E4CEB6D0B86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该道具对应的接入礼物ID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tc={1283DFD1-2D63-4D4A-988A-75D654145981}</author>
  </authors>
  <commentList>
    <comment ref="E5" authorId="0" shapeId="0" xr:uid="{1283DFD1-2D63-4D4A-988A-75D654145981}">
      <text>
        <t>[线程批注]
你的Excel版本可读取此线程批注; 但如果在更新版本的Excel中打开文件，则对批注所作的任何改动都将被删除。了解详细信息: https://go.microsoft.com/fwlink/?linkid=870924
注释:
    0表示没有数量限制，1表示只能合成1个</t>
      </text>
    </comment>
  </commentList>
</comments>
</file>

<file path=xl/sharedStrings.xml><?xml version="1.0" encoding="utf-8"?>
<sst xmlns="http://schemas.openxmlformats.org/spreadsheetml/2006/main" count="2215" uniqueCount="1011">
  <si>
    <t>##var</t>
  </si>
  <si>
    <t>id</t>
  </si>
  <si>
    <t>name</t>
  </si>
  <si>
    <t>desc</t>
  </si>
  <si>
    <t>type</t>
  </si>
  <si>
    <t>tabs</t>
  </si>
  <si>
    <t>is_init_create</t>
  </si>
  <si>
    <t>specialEffect</t>
  </si>
  <si>
    <t>reward</t>
  </si>
  <si>
    <t>weightSort</t>
  </si>
  <si>
    <t>is_hide</t>
  </si>
  <si>
    <t>resId</t>
  </si>
  <si>
    <t>stackLimit</t>
  </si>
  <si>
    <t>levelLimit</t>
  </si>
  <si>
    <t>isAutoUse</t>
  </si>
  <si>
    <t>##type</t>
  </si>
  <si>
    <t>int</t>
  </si>
  <si>
    <t>string</t>
  </si>
  <si>
    <t>Item.Quality</t>
  </si>
  <si>
    <t>Item.Type</t>
  </si>
  <si>
    <t>Item.Tabs</t>
  </si>
  <si>
    <t>bool</t>
  </si>
  <si>
    <t>(list#sep=;),Property.PropertyData</t>
  </si>
  <si>
    <t>(list#sep=;),Prop.PropObj</t>
  </si>
  <si>
    <t>int#ref=Item.TbItemRes</t>
  </si>
  <si>
    <t>##group</t>
  </si>
  <si>
    <t>s</t>
  </si>
  <si>
    <t>c</t>
  </si>
  <si>
    <t>##</t>
  </si>
  <si>
    <t>备注</t>
  </si>
  <si>
    <t>物品描述</t>
  </si>
  <si>
    <t>品质</t>
  </si>
  <si>
    <t>类型</t>
  </si>
  <si>
    <t>页签</t>
  </si>
  <si>
    <t>是否初始化创建</t>
  </si>
  <si>
    <t>增加属性类型</t>
  </si>
  <si>
    <t>获得奖励</t>
  </si>
  <si>
    <t>参数</t>
  </si>
  <si>
    <t>排序权重</t>
  </si>
  <si>
    <t>是否在背包中隐藏</t>
  </si>
  <si>
    <t>资源表</t>
  </si>
  <si>
    <t>堆叠上限
0-无限</t>
  </si>
  <si>
    <t>使用等级</t>
  </si>
  <si>
    <t>是否自动使用</t>
  </si>
  <si>
    <t>玩家经验</t>
  </si>
  <si>
    <t>阵法经验</t>
  </si>
  <si>
    <t>悟性丹</t>
  </si>
  <si>
    <t>突破丹</t>
  </si>
  <si>
    <t>突破时，每颗突破丹增加1%的突破成功概率，突破后会消耗对应的数量</t>
  </si>
  <si>
    <t>100</t>
  </si>
  <si>
    <t>修炼丹</t>
  </si>
  <si>
    <t>修炼时，每次修炼提取100修炼经验，最多30000点</t>
  </si>
  <si>
    <t>洗髓丹</t>
  </si>
  <si>
    <t>获得时直接提高30000点修炼经验</t>
  </si>
  <si>
    <t>1,1,30000</t>
  </si>
  <si>
    <t>强化石</t>
  </si>
  <si>
    <t>法宝强化道具</t>
  </si>
  <si>
    <t>幽冥钢</t>
  </si>
  <si>
    <t>攻击法宝进阶道具</t>
  </si>
  <si>
    <t>金刚砂</t>
  </si>
  <si>
    <t>防御法宝进阶道具</t>
  </si>
  <si>
    <t>星辰铁</t>
  </si>
  <si>
    <t>坐骑强化道具</t>
  </si>
  <si>
    <t>五色石</t>
  </si>
  <si>
    <t>坐骑进阶道具</t>
  </si>
  <si>
    <t>凝神决</t>
  </si>
  <si>
    <t>3,10001,1</t>
  </si>
  <si>
    <t>3,10002,1</t>
  </si>
  <si>
    <t>3,10003,1</t>
  </si>
  <si>
    <t>3,10004,1</t>
  </si>
  <si>
    <t>3,10005,1</t>
  </si>
  <si>
    <t>3,10006,1</t>
  </si>
  <si>
    <t>挂机修炼时额外增加修炼经验700</t>
  </si>
  <si>
    <t>3,10007,1</t>
  </si>
  <si>
    <t>聚灵经</t>
  </si>
  <si>
    <t>3,10101,1</t>
  </si>
  <si>
    <t>3,10102,1</t>
  </si>
  <si>
    <t>3,10103,1</t>
  </si>
  <si>
    <t>3,10104,1</t>
  </si>
  <si>
    <t>3,10105,1</t>
  </si>
  <si>
    <t>3,10106,1</t>
  </si>
  <si>
    <t>3,10107,1</t>
  </si>
  <si>
    <t>回春术</t>
  </si>
  <si>
    <t>3,10201,1</t>
  </si>
  <si>
    <t>3,10202,1</t>
  </si>
  <si>
    <t>3,10203,1</t>
  </si>
  <si>
    <t>3,10204,1</t>
  </si>
  <si>
    <t>3,10205,1</t>
  </si>
  <si>
    <t>3,10206,1</t>
  </si>
  <si>
    <t>3,10207,1</t>
  </si>
  <si>
    <t>血魔功</t>
  </si>
  <si>
    <t>3,10301,1</t>
  </si>
  <si>
    <t>3,10302,1</t>
  </si>
  <si>
    <t>3,10303,1</t>
  </si>
  <si>
    <t>3,10304,1</t>
  </si>
  <si>
    <t>3,10305,1</t>
  </si>
  <si>
    <t>3,10306,1</t>
  </si>
  <si>
    <t>3,10307,1</t>
  </si>
  <si>
    <t>风刃裂空</t>
  </si>
  <si>
    <t>3,10401,1</t>
  </si>
  <si>
    <t>3,10402,1</t>
  </si>
  <si>
    <t>3,10403,1</t>
  </si>
  <si>
    <t>3,10404,1</t>
  </si>
  <si>
    <t>3,10405,1</t>
  </si>
  <si>
    <t>3,10406,1</t>
  </si>
  <si>
    <t>3,10407,1</t>
  </si>
  <si>
    <t>地脉之力</t>
  </si>
  <si>
    <t>3,10501,1</t>
  </si>
  <si>
    <t>3,10502,1</t>
  </si>
  <si>
    <t>3,10503,1</t>
  </si>
  <si>
    <t>3,10504,1</t>
  </si>
  <si>
    <t>3,10505,1</t>
  </si>
  <si>
    <t>3,10506,1</t>
  </si>
  <si>
    <t>3,10507,1</t>
  </si>
  <si>
    <t>寒冰破浪</t>
  </si>
  <si>
    <t>3,10601,1</t>
  </si>
  <si>
    <t>3,10602,1</t>
  </si>
  <si>
    <t>3,10603,1</t>
  </si>
  <si>
    <t>3,10604,1</t>
  </si>
  <si>
    <t>3,10605,1</t>
  </si>
  <si>
    <t>3,10606,1</t>
  </si>
  <si>
    <t>3,10607,1</t>
  </si>
  <si>
    <t>炎阳真火</t>
  </si>
  <si>
    <t>3,10701,1</t>
  </si>
  <si>
    <t>3,10702,1</t>
  </si>
  <si>
    <t>3,10703,1</t>
  </si>
  <si>
    <t>3,10704,1</t>
  </si>
  <si>
    <t>3,10705,1</t>
  </si>
  <si>
    <t>3,10706,1</t>
  </si>
  <si>
    <t>3,10707,1</t>
  </si>
  <si>
    <t>风神守护</t>
  </si>
  <si>
    <t>3,10801,1</t>
  </si>
  <si>
    <t>3,10802,1</t>
  </si>
  <si>
    <t>3,10803,1</t>
  </si>
  <si>
    <t>3,10804,1</t>
  </si>
  <si>
    <t>3,10805,1</t>
  </si>
  <si>
    <t>3,10806,1</t>
  </si>
  <si>
    <t>3,10807,1</t>
  </si>
  <si>
    <t>地脉守护</t>
  </si>
  <si>
    <t>3,10901,1</t>
  </si>
  <si>
    <t>3,10902,1</t>
  </si>
  <si>
    <t>3,10903,1</t>
  </si>
  <si>
    <t>3,10904,1</t>
  </si>
  <si>
    <t>3,10905,1</t>
  </si>
  <si>
    <t>3,10906,1</t>
  </si>
  <si>
    <t>3,10907,1</t>
  </si>
  <si>
    <t>水灵之语</t>
  </si>
  <si>
    <t>3,11001,1</t>
  </si>
  <si>
    <t>3,11002,1</t>
  </si>
  <si>
    <t>3,11003,1</t>
  </si>
  <si>
    <t>3,11004,1</t>
  </si>
  <si>
    <t>3,11005,1</t>
  </si>
  <si>
    <t>3,11006,1</t>
  </si>
  <si>
    <t>3,11007,1</t>
  </si>
  <si>
    <t>火甲之语</t>
  </si>
  <si>
    <t>3,11101,1</t>
  </si>
  <si>
    <t>3,11102,1</t>
  </si>
  <si>
    <t>3,11103,1</t>
  </si>
  <si>
    <t>3,11104,1</t>
  </si>
  <si>
    <t>3,11105,1</t>
  </si>
  <si>
    <t>3,11106,1</t>
  </si>
  <si>
    <t>3,11107,1</t>
  </si>
  <si>
    <t>不动如山</t>
  </si>
  <si>
    <t>3,11201,1</t>
  </si>
  <si>
    <t>3,11202,1</t>
  </si>
  <si>
    <t>3,11203,1</t>
  </si>
  <si>
    <t>3,11204,1</t>
  </si>
  <si>
    <t>3,11205,1</t>
  </si>
  <si>
    <t>3,11206,1</t>
  </si>
  <si>
    <t>3,11207,1</t>
  </si>
  <si>
    <t>狂暴之力</t>
  </si>
  <si>
    <t>3,11301,1</t>
  </si>
  <si>
    <t>3,11302,1</t>
  </si>
  <si>
    <t>3,11303,1</t>
  </si>
  <si>
    <t>3,11304,1</t>
  </si>
  <si>
    <t>3,11305,1</t>
  </si>
  <si>
    <t>3,11306,1</t>
  </si>
  <si>
    <t>3,11307,1</t>
  </si>
  <si>
    <t>灵盾护体</t>
  </si>
  <si>
    <t>3,11401,1</t>
  </si>
  <si>
    <t>3,11402,1</t>
  </si>
  <si>
    <t>3,11403,1</t>
  </si>
  <si>
    <t>3,11404,1</t>
  </si>
  <si>
    <t>3,11405,1</t>
  </si>
  <si>
    <t>3,11406,1</t>
  </si>
  <si>
    <t>3,11407,1</t>
  </si>
  <si>
    <t>血祭魔功</t>
  </si>
  <si>
    <t>3,11501,1</t>
  </si>
  <si>
    <t>3,11502,1</t>
  </si>
  <si>
    <t>3,11503,1</t>
  </si>
  <si>
    <t>3,11504,1</t>
  </si>
  <si>
    <t>3,11505,1</t>
  </si>
  <si>
    <t>3,11506,1</t>
  </si>
  <si>
    <t>3,11507,1</t>
  </si>
  <si>
    <t>长生真诀</t>
  </si>
  <si>
    <t>3,11601,1</t>
  </si>
  <si>
    <t>3,11602,1</t>
  </si>
  <si>
    <t>3,11603,1</t>
  </si>
  <si>
    <t>3,11604,1</t>
  </si>
  <si>
    <t>3,11605,1</t>
  </si>
  <si>
    <t>3,11606,1</t>
  </si>
  <si>
    <t>3,11607,1</t>
  </si>
  <si>
    <t>斗转星移</t>
  </si>
  <si>
    <t>3,11701,1</t>
  </si>
  <si>
    <t>3,11702,1</t>
  </si>
  <si>
    <t>3,11703,1</t>
  </si>
  <si>
    <t>3,11704,1</t>
  </si>
  <si>
    <t>3,11705,1</t>
  </si>
  <si>
    <t>3,11706,1</t>
  </si>
  <si>
    <t>3,11707,1</t>
  </si>
  <si>
    <t>太乙神术</t>
  </si>
  <si>
    <t>3,11801,1</t>
  </si>
  <si>
    <t>3,11802,1</t>
  </si>
  <si>
    <t>3,11803,1</t>
  </si>
  <si>
    <t>3,11804,1</t>
  </si>
  <si>
    <t>3,11805,1</t>
  </si>
  <si>
    <t>3,11806,1</t>
  </si>
  <si>
    <t>3,11807,1</t>
  </si>
  <si>
    <t>天璇灵决</t>
  </si>
  <si>
    <t>3,11901,1</t>
  </si>
  <si>
    <t>3,11902,1</t>
  </si>
  <si>
    <t>3,11903,1</t>
  </si>
  <si>
    <t>3,11904,1</t>
  </si>
  <si>
    <t>3,11905,1</t>
  </si>
  <si>
    <t>3,11906,1</t>
  </si>
  <si>
    <t>3,11907,1</t>
  </si>
  <si>
    <t>身外化身</t>
  </si>
  <si>
    <t>3,12001,1</t>
  </si>
  <si>
    <t>3,12002,1</t>
  </si>
  <si>
    <t>3,12003,1</t>
  </si>
  <si>
    <t>3,12004,1</t>
  </si>
  <si>
    <t>3,12005,1</t>
  </si>
  <si>
    <t>3,12006,1</t>
  </si>
  <si>
    <t>3,12007,1</t>
  </si>
  <si>
    <t>男境界1</t>
  </si>
  <si>
    <t>2,20001,1</t>
  </si>
  <si>
    <t>男境界2</t>
  </si>
  <si>
    <t>2,20002,1</t>
  </si>
  <si>
    <t>男境界3</t>
  </si>
  <si>
    <t>2,20003,1</t>
  </si>
  <si>
    <t>男境界4</t>
  </si>
  <si>
    <t>2,20004,1</t>
  </si>
  <si>
    <t>男境界5</t>
  </si>
  <si>
    <t>2,20005,1</t>
  </si>
  <si>
    <t>男境界6</t>
  </si>
  <si>
    <t>2,20006,1</t>
  </si>
  <si>
    <t>男积分1-3</t>
  </si>
  <si>
    <t>男积分4-10</t>
  </si>
  <si>
    <t>男积分11-52</t>
  </si>
  <si>
    <t>男功勋1-3</t>
  </si>
  <si>
    <t>男功勋4-10</t>
  </si>
  <si>
    <t>男功勋11-50</t>
  </si>
  <si>
    <t>女境界1</t>
  </si>
  <si>
    <t>2,21001,1</t>
  </si>
  <si>
    <t>女境界2</t>
  </si>
  <si>
    <t>2,21002,1</t>
  </si>
  <si>
    <t>女境界3</t>
  </si>
  <si>
    <t>2,21003,1</t>
  </si>
  <si>
    <t>女境界4</t>
  </si>
  <si>
    <t>2,21004,1</t>
  </si>
  <si>
    <t>女境界5</t>
  </si>
  <si>
    <t>2,21005,1</t>
  </si>
  <si>
    <t>女境界6</t>
  </si>
  <si>
    <t>2,21006,1</t>
  </si>
  <si>
    <t>女积分1-3</t>
  </si>
  <si>
    <t>女积分4-10</t>
  </si>
  <si>
    <t>女积分11-52</t>
  </si>
  <si>
    <t>女功勋1-3</t>
  </si>
  <si>
    <t>女功勋4-10</t>
  </si>
  <si>
    <t>女功勋11-50</t>
  </si>
  <si>
    <t>寒冰剑</t>
  </si>
  <si>
    <t>4,30001,1</t>
  </si>
  <si>
    <t>雷霆锤</t>
  </si>
  <si>
    <t>4,30002,1</t>
  </si>
  <si>
    <t>紫电刀</t>
  </si>
  <si>
    <t>4,30003,1</t>
  </si>
  <si>
    <t>4,30004,1</t>
  </si>
  <si>
    <t>烈焰枪</t>
  </si>
  <si>
    <t>4,30005,1</t>
  </si>
  <si>
    <t>4,30006,1</t>
  </si>
  <si>
    <t>4,30007,1</t>
  </si>
  <si>
    <t>4,30008,1</t>
  </si>
  <si>
    <t>4,30009,1</t>
  </si>
  <si>
    <t>乾坤扇</t>
  </si>
  <si>
    <t>4,30010,1</t>
  </si>
  <si>
    <t>4,30011,1</t>
  </si>
  <si>
    <t>4,30012,1</t>
  </si>
  <si>
    <t>风行靴</t>
  </si>
  <si>
    <t>4,31001,1</t>
  </si>
  <si>
    <t>紫霞衣</t>
  </si>
  <si>
    <t>4,31002,1</t>
  </si>
  <si>
    <t>玄冰甲</t>
  </si>
  <si>
    <t>4,31003,1</t>
  </si>
  <si>
    <t>4,31004,1</t>
  </si>
  <si>
    <t>蟠龙符</t>
  </si>
  <si>
    <t>4,31005,1</t>
  </si>
  <si>
    <t>4,31006,1</t>
  </si>
  <si>
    <t>4,31007,1</t>
  </si>
  <si>
    <t>4,31008,1</t>
  </si>
  <si>
    <t>炼妖壶</t>
  </si>
  <si>
    <t>4,31009,1</t>
  </si>
  <si>
    <t>4,31010,1</t>
  </si>
  <si>
    <t>4,31011,1</t>
  </si>
  <si>
    <t>4,31012,1</t>
  </si>
  <si>
    <t>5,40001,1</t>
  </si>
  <si>
    <t>5,40002,1</t>
  </si>
  <si>
    <t>风火轮</t>
  </si>
  <si>
    <t>5,40003,1</t>
  </si>
  <si>
    <t>跟斗云</t>
  </si>
  <si>
    <t>5,40004,1</t>
  </si>
  <si>
    <t>5,40005,1</t>
  </si>
  <si>
    <t>莲花台</t>
  </si>
  <si>
    <t>5,40006,1</t>
  </si>
  <si>
    <t>5,40007,1</t>
  </si>
  <si>
    <t>5,40008,1</t>
  </si>
  <si>
    <t>icon</t>
  </si>
  <si>
    <t>名字</t>
  </si>
  <si>
    <t>描述</t>
  </si>
  <si>
    <t>灵兽经验</t>
  </si>
  <si>
    <t>每颗悟性丹增加20点修炼值、50点攻击、3000点生命</t>
  </si>
  <si>
    <t>GoodsIcon/Icon_1001</t>
  </si>
  <si>
    <t>GoodsIcon/Icon_1002</t>
  </si>
  <si>
    <t>GoodsIcon/Icon_1003</t>
  </si>
  <si>
    <t>GoodsIcon/Icon_1004</t>
  </si>
  <si>
    <t>GoodsIcon/Icon_1006</t>
  </si>
  <si>
    <t>GoodsIcon/Icon_1007</t>
  </si>
  <si>
    <t>GoodsIcon/Icon_1008</t>
  </si>
  <si>
    <t>GoodsIcon/Icon_1009</t>
  </si>
  <si>
    <t>quality</t>
    <phoneticPr fontId="7" type="noConversion"/>
  </si>
  <si>
    <t>男进度1-法宝粉</t>
  </si>
  <si>
    <t>男进度2-悟性值</t>
  </si>
  <si>
    <t>男进度3-功法粉+法宝粉+悟性5000</t>
  </si>
  <si>
    <t>男进度4-功法黑+法宝黑+悟性10000</t>
  </si>
  <si>
    <t>男进度5-功法彩+法宝彩+悟性20000</t>
  </si>
  <si>
    <t>女进度1-法宝粉</t>
  </si>
  <si>
    <t>女进度2-悟性值</t>
  </si>
  <si>
    <t>女进度3-功法粉+法宝粉+悟性5000</t>
  </si>
  <si>
    <t>女进度4-功法黑+法宝黑+悟性10000</t>
  </si>
  <si>
    <t>女进度5-功法彩+法宝彩+悟性20000</t>
  </si>
  <si>
    <t>挂机修炼时额外增加修炼经验35</t>
  </si>
  <si>
    <t>挂机修炼时额外增加修炼经验70</t>
  </si>
  <si>
    <t>挂机修炼时额外增加修炼经验140</t>
  </si>
  <si>
    <t>挂机修炼时额外增加修炼经验315</t>
  </si>
  <si>
    <t>挂机修炼时额外增加修炼经验1470</t>
  </si>
  <si>
    <t>挂机修炼时额外增加修炼经验3010</t>
  </si>
  <si>
    <t>GoodsIcon/Icon_10001</t>
    <phoneticPr fontId="7" type="noConversion"/>
  </si>
  <si>
    <t>GoodsIcon/Icon_10401</t>
    <phoneticPr fontId="7" type="noConversion"/>
  </si>
  <si>
    <t>GoodsIcon/Icon_10801</t>
    <phoneticPr fontId="7" type="noConversion"/>
  </si>
  <si>
    <t>GoodsIcon/Icon_11601</t>
    <phoneticPr fontId="7" type="noConversion"/>
  </si>
  <si>
    <t>道具名富文本</t>
    <phoneticPr fontId="7" type="noConversion"/>
  </si>
  <si>
    <t>nameRich</t>
    <phoneticPr fontId="7" type="noConversion"/>
  </si>
  <si>
    <t>2,20101,1</t>
  </si>
  <si>
    <t>2,20102,1</t>
  </si>
  <si>
    <t>2,20103,1</t>
  </si>
  <si>
    <t>2,20104,1</t>
  </si>
  <si>
    <t>2,20105,1</t>
  </si>
  <si>
    <t>2,20201,1</t>
  </si>
  <si>
    <t>2,20202,1</t>
  </si>
  <si>
    <t>2,20203,1</t>
  </si>
  <si>
    <t>2,20301,1</t>
  </si>
  <si>
    <t>2,20302,1</t>
  </si>
  <si>
    <t>2,20303,1</t>
  </si>
  <si>
    <t>2,21101,1</t>
  </si>
  <si>
    <t>2,21102,1</t>
  </si>
  <si>
    <t>2,21103,1</t>
  </si>
  <si>
    <t>2,21104,1</t>
  </si>
  <si>
    <t>2,21105,1</t>
  </si>
  <si>
    <t>2,21201,1</t>
  </si>
  <si>
    <t>2,21202,1</t>
  </si>
  <si>
    <t>2,21203,1</t>
  </si>
  <si>
    <t>2,21301,1</t>
  </si>
  <si>
    <t>2,21302,1</t>
  </si>
  <si>
    <t>2,21303,1</t>
  </si>
  <si>
    <t>修炼经验</t>
    <phoneticPr fontId="7" type="noConversion"/>
  </si>
  <si>
    <t>魔彩仙灵（男）</t>
    <phoneticPr fontId="7" type="noConversion"/>
  </si>
  <si>
    <t>风华绝代（男）</t>
    <phoneticPr fontId="7" type="noConversion"/>
  </si>
  <si>
    <t>仙风道骨（男）</t>
    <phoneticPr fontId="7" type="noConversion"/>
  </si>
  <si>
    <t>魔彩仙灵（女）</t>
  </si>
  <si>
    <t>风华绝代（女）</t>
  </si>
  <si>
    <t>仙风道骨（女）</t>
  </si>
  <si>
    <t>霸天狂仙（男）</t>
    <phoneticPr fontId="7" type="noConversion"/>
  </si>
  <si>
    <t>魔焰焚身（男）</t>
    <phoneticPr fontId="7" type="noConversion"/>
  </si>
  <si>
    <t>邪影狂澜（男）</t>
    <phoneticPr fontId="7" type="noConversion"/>
  </si>
  <si>
    <t>霸天狂仙（女）</t>
  </si>
  <si>
    <t>魔焰焚身（女）</t>
  </si>
  <si>
    <t>邪影狂澜（女）</t>
  </si>
  <si>
    <t>1,1,10</t>
    <phoneticPr fontId="7" type="noConversion"/>
  </si>
  <si>
    <t>波涌浪</t>
    <phoneticPr fontId="7" type="noConversion"/>
  </si>
  <si>
    <t>飞花枝</t>
    <phoneticPr fontId="7" type="noConversion"/>
  </si>
  <si>
    <t>云羽鹤</t>
    <phoneticPr fontId="7" type="noConversion"/>
  </si>
  <si>
    <t>挞神鞭</t>
    <phoneticPr fontId="7" type="noConversion"/>
  </si>
  <si>
    <t>禅心拂</t>
    <phoneticPr fontId="7" type="noConversion"/>
  </si>
  <si>
    <t>苍龙爪</t>
    <phoneticPr fontId="7" type="noConversion"/>
  </si>
  <si>
    <t>流星斧</t>
    <phoneticPr fontId="7" type="noConversion"/>
  </si>
  <si>
    <t>云篆笔</t>
    <phoneticPr fontId="7" type="noConversion"/>
  </si>
  <si>
    <t>赤焰剑</t>
    <phoneticPr fontId="7" type="noConversion"/>
  </si>
  <si>
    <t>轩辕剑</t>
    <phoneticPr fontId="7" type="noConversion"/>
  </si>
  <si>
    <t>虎牙坠</t>
    <phoneticPr fontId="7" type="noConversion"/>
  </si>
  <si>
    <t>甘露瓶</t>
    <phoneticPr fontId="7" type="noConversion"/>
  </si>
  <si>
    <t>碧莲台</t>
    <phoneticPr fontId="7" type="noConversion"/>
  </si>
  <si>
    <t>幽梦莲</t>
    <phoneticPr fontId="7" type="noConversion"/>
  </si>
  <si>
    <t>定风珠</t>
    <phoneticPr fontId="7" type="noConversion"/>
  </si>
  <si>
    <t>金籁笛</t>
    <phoneticPr fontId="7" type="noConversion"/>
  </si>
  <si>
    <t>琉璃盏</t>
    <phoneticPr fontId="7" type="noConversion"/>
  </si>
  <si>
    <t>GoodsIcon/Icon_30001</t>
  </si>
  <si>
    <t>GoodsIcon/Icon_30002</t>
  </si>
  <si>
    <t>GoodsIcon/Icon_30003</t>
  </si>
  <si>
    <t>GoodsIcon/Icon_30004</t>
  </si>
  <si>
    <t>GoodsIcon/Icon_30005</t>
  </si>
  <si>
    <t>GoodsIcon/Icon_30006</t>
  </si>
  <si>
    <t>GoodsIcon/Icon_30007</t>
  </si>
  <si>
    <t>GoodsIcon/Icon_30008</t>
  </si>
  <si>
    <t>GoodsIcon/Icon_30009</t>
  </si>
  <si>
    <t>GoodsIcon/Icon_30010</t>
  </si>
  <si>
    <t>GoodsIcon/Icon_30011</t>
  </si>
  <si>
    <t>GoodsIcon/Icon_30012</t>
  </si>
  <si>
    <t>GoodsIcon/Icon_31001</t>
  </si>
  <si>
    <t>GoodsIcon/Icon_31002</t>
  </si>
  <si>
    <t>GoodsIcon/Icon_31003</t>
  </si>
  <si>
    <t>GoodsIcon/Icon_31004</t>
  </si>
  <si>
    <t>GoodsIcon/Icon_31005</t>
  </si>
  <si>
    <t>GoodsIcon/Icon_31006</t>
  </si>
  <si>
    <t>GoodsIcon/Icon_31007</t>
  </si>
  <si>
    <t>GoodsIcon/Icon_31008</t>
  </si>
  <si>
    <t>GoodsIcon/Icon_31009</t>
  </si>
  <si>
    <t>GoodsIcon/Icon_31010</t>
  </si>
  <si>
    <t>GoodsIcon/Icon_31011</t>
  </si>
  <si>
    <t>bigIcon</t>
    <phoneticPr fontId="7" type="noConversion"/>
  </si>
  <si>
    <t>流星剑</t>
    <phoneticPr fontId="7" type="noConversion"/>
  </si>
  <si>
    <t>七彩云</t>
    <phoneticPr fontId="7" type="noConversion"/>
  </si>
  <si>
    <t>道具图标512*512</t>
    <phoneticPr fontId="7" type="noConversion"/>
  </si>
  <si>
    <t>道具图标128*128</t>
    <phoneticPr fontId="7" type="noConversion"/>
  </si>
  <si>
    <t>外门弟子服（男）</t>
    <phoneticPr fontId="7" type="noConversion"/>
  </si>
  <si>
    <t>内门弟子服（男）</t>
    <phoneticPr fontId="7" type="noConversion"/>
  </si>
  <si>
    <t>精英弟子服（男）</t>
    <phoneticPr fontId="7" type="noConversion"/>
  </si>
  <si>
    <t>亲传弟子服（男）</t>
    <phoneticPr fontId="7" type="noConversion"/>
  </si>
  <si>
    <t>执事服（男）</t>
    <phoneticPr fontId="7" type="noConversion"/>
  </si>
  <si>
    <t>长老服（男）</t>
    <phoneticPr fontId="7" type="noConversion"/>
  </si>
  <si>
    <t>外门弟子服（女）</t>
  </si>
  <si>
    <t>内门弟子服（女）</t>
  </si>
  <si>
    <t>亲传弟子服（女）</t>
  </si>
  <si>
    <t>执事服（女）</t>
  </si>
  <si>
    <t>长老服（女）</t>
  </si>
  <si>
    <t>Icon_GoodsBig/Icon_40001</t>
    <phoneticPr fontId="7" type="noConversion"/>
  </si>
  <si>
    <t>Icon_GoodsBig/Icon_40002</t>
  </si>
  <si>
    <t>Icon_GoodsBig/Icon_40003</t>
  </si>
  <si>
    <t>Icon_GoodsBig/Icon_40004</t>
  </si>
  <si>
    <t>Icon_GoodsBig/Icon_40005</t>
  </si>
  <si>
    <t>Icon_GoodsBig/Icon_40006</t>
  </si>
  <si>
    <t>Icon_GoodsBig/Icon_40007</t>
  </si>
  <si>
    <t>Icon_GoodsBig/Icon_40008</t>
  </si>
  <si>
    <t>挂机修炼时每10秒消耗生命2.0%增加修炼经验49</t>
  </si>
  <si>
    <t>挂机修炼时每10秒消耗生命2.5%增加修炼经验98</t>
  </si>
  <si>
    <t>挂机修炼时每10秒消耗生命3.0%增加修炼经验196</t>
  </si>
  <si>
    <t>挂机修炼时每10秒消耗生命3.5%增加修炼经验441</t>
  </si>
  <si>
    <t>挂机修炼时每10秒消耗生命4.0%增加修炼经验980</t>
  </si>
  <si>
    <t>挂机修炼时每10秒消耗生命4.5%增加修炼经验2058</t>
  </si>
  <si>
    <t>挂机修炼时每10秒消耗生命5.0%增加修炼经验4214</t>
  </si>
  <si>
    <t>获得2%生命的护盾30秒CD</t>
  </si>
  <si>
    <t>获得4%生命的护盾30秒CD</t>
  </si>
  <si>
    <t>获得6%生命的护盾30秒CD</t>
  </si>
  <si>
    <t>获得10%生命的护盾30秒CD</t>
  </si>
  <si>
    <t>获得16%生命的护盾30秒CD</t>
  </si>
  <si>
    <t>获得24%生命的护盾30秒CD</t>
  </si>
  <si>
    <t>获得36%生命的护盾30秒CD</t>
  </si>
  <si>
    <t>持有时，被攻击回复受到伤害0%的生命值,最多不能超过当前生命值的0.2%</t>
  </si>
  <si>
    <t>持有时，被攻击回复受到伤害0%的生命值,最多不能超过当前生命值的0.4%</t>
  </si>
  <si>
    <t>持有时，被攻击回复受到伤害1%的生命值,最多不能超过当前生命值的0.6%</t>
  </si>
  <si>
    <t>持有时，被攻击回复受到伤害1%的生命值,最多不能超过当前生命值的1.0%</t>
  </si>
  <si>
    <t>持有时，被攻击回复受到伤害2%的生命值,最多不能超过当前生命值的1.6%</t>
  </si>
  <si>
    <t>持有时，被攻击回复受到伤害2%的生命值,最多不能超过当前生命值的2.4%</t>
  </si>
  <si>
    <t>持有时，被攻击回复受到伤害3%的生命值,最多不能超过当前生命值的3.2%</t>
  </si>
  <si>
    <t>持有时，受到的伤害3%随机转移给其他人</t>
  </si>
  <si>
    <t>持有时，受到的伤害5%随机转移给其他人</t>
  </si>
  <si>
    <t>持有时，受到的伤害8%随机转移给其他人</t>
  </si>
  <si>
    <t>持有时，受到的伤害13%随机转移给其他人</t>
  </si>
  <si>
    <t>持有时，受到的伤害20%随机转移给其他人</t>
  </si>
  <si>
    <t>持有时，受到的伤害30%随机转移给其他人</t>
  </si>
  <si>
    <t>持有时，受到的伤害40%随机转移给其他人</t>
  </si>
  <si>
    <t>持有时，攻击附加5%禁疗，持续5s</t>
  </si>
  <si>
    <t>持有时，攻击附加10%禁疗，持续5s</t>
  </si>
  <si>
    <t>持有时，攻击附加15%禁疗，持续5s</t>
  </si>
  <si>
    <t>持有时，攻击附加25%禁疗，持续5s</t>
  </si>
  <si>
    <t>持有时，攻击附加5%禁吸血，持续5s</t>
  </si>
  <si>
    <t>持有时，攻击附加10%禁吸血，持续5s</t>
  </si>
  <si>
    <t>持有时，攻击附加15%禁吸血，持续5s</t>
  </si>
  <si>
    <t>持有时，攻击附加25%禁吸血，持续5s</t>
  </si>
  <si>
    <t>4,1,400</t>
    <phoneticPr fontId="7" type="noConversion"/>
  </si>
  <si>
    <t>1,1,10;4,1,400</t>
    <phoneticPr fontId="7" type="noConversion"/>
  </si>
  <si>
    <t>100;30000</t>
    <phoneticPr fontId="7" type="noConversion"/>
  </si>
  <si>
    <t>经验丹</t>
    <phoneticPr fontId="7" type="noConversion"/>
  </si>
  <si>
    <t>浩然仙宗（男-1天）</t>
    <phoneticPr fontId="7" type="noConversion"/>
  </si>
  <si>
    <t>2,20011,1</t>
    <phoneticPr fontId="7" type="noConversion"/>
  </si>
  <si>
    <t>浩然仙宗（女-1天）</t>
    <phoneticPr fontId="7" type="noConversion"/>
  </si>
  <si>
    <t>2,21011,1</t>
    <phoneticPr fontId="7" type="noConversion"/>
  </si>
  <si>
    <t>2,21012,1</t>
    <phoneticPr fontId="7" type="noConversion"/>
  </si>
  <si>
    <t>2,21013,1</t>
    <phoneticPr fontId="7" type="noConversion"/>
  </si>
  <si>
    <t>浩然仙宗（男-3天）</t>
    <phoneticPr fontId="7" type="noConversion"/>
  </si>
  <si>
    <t>浩然仙宗（女-3天）</t>
    <phoneticPr fontId="7" type="noConversion"/>
  </si>
  <si>
    <t>浩然仙宗（男-5天）</t>
    <phoneticPr fontId="7" type="noConversion"/>
  </si>
  <si>
    <t>浩然仙宗（女-5天）</t>
    <phoneticPr fontId="7" type="noConversion"/>
  </si>
  <si>
    <t>可以开出各种道具，甚至有稀有的皮肤</t>
    <phoneticPr fontId="7" type="noConversion"/>
  </si>
  <si>
    <t>240</t>
    <phoneticPr fontId="7" type="noConversion"/>
  </si>
  <si>
    <t>可以开出各种道具，甚至有稀有的皮肤</t>
  </si>
  <si>
    <t>浩然仙宗（男-1天）</t>
  </si>
  <si>
    <t>浩然仙宗（男-3天）</t>
  </si>
  <si>
    <t>浩然仙宗（男-5天）</t>
  </si>
  <si>
    <t>浩然仙宗（女-1天）</t>
  </si>
  <si>
    <t>浩然仙宗（女-3天）</t>
  </si>
  <si>
    <t>浩然仙宗（女-5天）</t>
  </si>
  <si>
    <t>2,20011,3</t>
    <phoneticPr fontId="7" type="noConversion"/>
  </si>
  <si>
    <t>2,20011,5</t>
    <phoneticPr fontId="7" type="noConversion"/>
  </si>
  <si>
    <t>浩然仙宗（1天）</t>
  </si>
  <si>
    <t>浩然仙宗（1天）</t>
    <phoneticPr fontId="7" type="noConversion"/>
  </si>
  <si>
    <t>浩然仙宗（3天）</t>
  </si>
  <si>
    <t>浩然仙宗（3天）</t>
    <phoneticPr fontId="7" type="noConversion"/>
  </si>
  <si>
    <t>浩然仙宗（5天）</t>
  </si>
  <si>
    <t>浩然仙宗（5天）</t>
    <phoneticPr fontId="7" type="noConversion"/>
  </si>
  <si>
    <t>2,20011,1;2,21011,1</t>
    <phoneticPr fontId="7" type="noConversion"/>
  </si>
  <si>
    <t>2,20011,3;2,21011,3</t>
    <phoneticPr fontId="7" type="noConversion"/>
  </si>
  <si>
    <t>2,20011,5;2,21011,5</t>
    <phoneticPr fontId="7" type="noConversion"/>
  </si>
  <si>
    <t>礼物1</t>
  </si>
  <si>
    <t>礼物1</t>
    <phoneticPr fontId="7" type="noConversion"/>
  </si>
  <si>
    <t>礼物2</t>
  </si>
  <si>
    <t>礼物3</t>
  </si>
  <si>
    <t>礼物4</t>
  </si>
  <si>
    <t>礼物5</t>
  </si>
  <si>
    <t>礼物6</t>
  </si>
  <si>
    <t>使用后赠送1次礼物1</t>
    <phoneticPr fontId="7" type="noConversion"/>
  </si>
  <si>
    <t>使用后赠送1次礼物2</t>
  </si>
  <si>
    <t>使用后赠送1次礼物3</t>
  </si>
  <si>
    <t>使用后赠送1次礼物4</t>
  </si>
  <si>
    <t>使用后赠送1次礼物5</t>
  </si>
  <si>
    <t>使用后赠送1次礼物6</t>
  </si>
  <si>
    <t>GoodsIcon/Icon_1013</t>
    <phoneticPr fontId="7" type="noConversion"/>
  </si>
  <si>
    <t>GoodsIcon/Icon_1014</t>
  </si>
  <si>
    <t>GoodsIcon/Icon_1015</t>
  </si>
  <si>
    <t>GoodsIcon/Icon_1016</t>
  </si>
  <si>
    <t>GoodsIcon/Icon_1017</t>
  </si>
  <si>
    <t>GoodsIcon/Icon_1018</t>
  </si>
  <si>
    <t>param</t>
    <phoneticPr fontId="7" type="noConversion"/>
  </si>
  <si>
    <t>2,20401,1</t>
    <phoneticPr fontId="7" type="noConversion"/>
  </si>
  <si>
    <t>2,20402,1</t>
    <phoneticPr fontId="7" type="noConversion"/>
  </si>
  <si>
    <t>2,21401,1</t>
    <phoneticPr fontId="7" type="noConversion"/>
  </si>
  <si>
    <t>2,21402,1</t>
    <phoneticPr fontId="7" type="noConversion"/>
  </si>
  <si>
    <t>男竞技1-3</t>
    <phoneticPr fontId="7" type="noConversion"/>
  </si>
  <si>
    <t>男竞技4-50</t>
    <phoneticPr fontId="7" type="noConversion"/>
  </si>
  <si>
    <t>女竞技1-3</t>
    <phoneticPr fontId="7" type="noConversion"/>
  </si>
  <si>
    <t>女竞技4-50</t>
    <phoneticPr fontId="7" type="noConversion"/>
  </si>
  <si>
    <t>灵台明镜（男）</t>
    <phoneticPr fontId="7" type="noConversion"/>
  </si>
  <si>
    <t>灵台明镜（女）</t>
    <phoneticPr fontId="7" type="noConversion"/>
  </si>
  <si>
    <t>nameDesc</t>
    <phoneticPr fontId="7" type="noConversion"/>
  </si>
  <si>
    <t>道具描述富文本</t>
    <phoneticPr fontId="7" type="noConversion"/>
  </si>
  <si>
    <t>增加200伤害，附加10%风属性伤害</t>
  </si>
  <si>
    <t>增加400伤害，附加20%风属性伤害</t>
  </si>
  <si>
    <t>增加600伤害，附加30%风属性伤害</t>
  </si>
  <si>
    <t>增加1000伤害，附加50%风属性伤害</t>
  </si>
  <si>
    <t>增加1600伤害，附加80%风属性伤害</t>
  </si>
  <si>
    <t>增加2600伤害，附加110%风属性伤害</t>
  </si>
  <si>
    <t>增加4000伤害，附加150%风属性伤害</t>
  </si>
  <si>
    <t>增加200伤害，附加10%土属性伤害</t>
  </si>
  <si>
    <t>增加400伤害，附加20%土属性伤害</t>
  </si>
  <si>
    <t>增加600伤害，附加30%土属性伤害</t>
  </si>
  <si>
    <t>增加1000伤害，附加50%土属性伤害</t>
  </si>
  <si>
    <t>增加1600伤害，附加80%土属性伤害</t>
  </si>
  <si>
    <t>增加2600伤害，附加110%土属性伤害</t>
  </si>
  <si>
    <t>增加4000伤害，附加150%土属性伤害</t>
  </si>
  <si>
    <t>增加200伤害，附加10%水属性伤害</t>
  </si>
  <si>
    <t>增加400伤害，附加20%水属性伤害</t>
  </si>
  <si>
    <t>增加600伤害，附加30%水属性伤害</t>
  </si>
  <si>
    <t>增加1000伤害，附加50%水属性伤害</t>
  </si>
  <si>
    <t>增加1600伤害，附加80%水属性伤害</t>
  </si>
  <si>
    <t>增加2600伤害，附加110%水属性伤害</t>
  </si>
  <si>
    <t>增加4000伤害，附加150%水属性伤害</t>
  </si>
  <si>
    <t>增加200伤害，附加10%火属性伤害</t>
  </si>
  <si>
    <t>增加400伤害，附加20%火属性伤害</t>
  </si>
  <si>
    <t>增加600伤害，附加30%火属性伤害</t>
  </si>
  <si>
    <t>增加1000伤害，附加50%火属性伤害</t>
  </si>
  <si>
    <t>增加1600伤害，附加80%火属性伤害</t>
  </si>
  <si>
    <t>增加2600伤害，附加110%火属性伤害</t>
  </si>
  <si>
    <t>增加4000伤害，附加150%火属性伤害</t>
  </si>
  <si>
    <t>减少2%普通伤害，额外减少7%风属性伤害</t>
  </si>
  <si>
    <t>减少4%普通伤害，额外减少14%风属性伤害</t>
  </si>
  <si>
    <t>减少6%普通伤害，额外减少21%风属性伤害</t>
  </si>
  <si>
    <t>减少10%普通伤害，额外减少35%风属性伤害</t>
  </si>
  <si>
    <t>减少16%普通伤害，额外减少56%风属性伤害</t>
  </si>
  <si>
    <t>减少24%普通伤害，额外减少84%风属性伤害</t>
  </si>
  <si>
    <t>减少36%普通伤害，额外减少126%风属性伤害</t>
  </si>
  <si>
    <t>减少2%普通伤害，额外减少7%土属性伤害</t>
  </si>
  <si>
    <t>减少4%普通伤害，额外减少14%土属性伤害</t>
  </si>
  <si>
    <t>减少6%普通伤害，额外减少21%土属性伤害</t>
  </si>
  <si>
    <t>减少10%普通伤害，额外减少35%土属性伤害</t>
  </si>
  <si>
    <t>减少16%普通伤害，额外减少56%土属性伤害</t>
  </si>
  <si>
    <t>减少24%普通伤害，额外减少84%土属性伤害</t>
  </si>
  <si>
    <t>减少36%普通伤害，额外减少126%土属性伤害</t>
  </si>
  <si>
    <t>减少2%普通伤害，额外减少7%水属性伤害</t>
  </si>
  <si>
    <t>减少4%普通伤害，额外减少14%水属性伤害</t>
  </si>
  <si>
    <t>减少6%普通伤害，额外减少21%水属性伤害</t>
  </si>
  <si>
    <t>减少10%普通伤害，额外减少35%水属性伤害</t>
  </si>
  <si>
    <t>减少16%普通伤害，额外减少56%水属性伤害</t>
  </si>
  <si>
    <t>减少24%普通伤害，额外减少84%水属性伤害</t>
  </si>
  <si>
    <t>减少36%普通伤害，额外减少126%水属性伤害</t>
  </si>
  <si>
    <t>减少2%普通伤害，额外减少7%火属性伤害</t>
  </si>
  <si>
    <t>减少4%普通伤害，额外减少14%火属性伤害</t>
  </si>
  <si>
    <t>减少6%普通伤害，额外减少21%火属性伤害</t>
  </si>
  <si>
    <t>减少10%普通伤害，额外减少35%火属性伤害</t>
  </si>
  <si>
    <t>减少16%普通伤害，额外减少56%火属性伤害</t>
  </si>
  <si>
    <t>减少24%普通伤害，额外减少84%火属性伤害</t>
  </si>
  <si>
    <t>减少36%普通伤害，额外减少126%火属性伤害</t>
  </si>
  <si>
    <t>减少6%普通伤害</t>
  </si>
  <si>
    <t>减少12%普通伤害</t>
  </si>
  <si>
    <t>减少18%普通伤害</t>
  </si>
  <si>
    <t>减少30%普通伤害</t>
  </si>
  <si>
    <t>减少48%普通伤害</t>
  </si>
  <si>
    <t>减少72%普通伤害</t>
  </si>
  <si>
    <t>减少108%普通伤害</t>
  </si>
  <si>
    <t>增加6%普通伤害</t>
  </si>
  <si>
    <t>增加12%普通伤害</t>
  </si>
  <si>
    <t>增加18%普通伤害</t>
  </si>
  <si>
    <t>增加30%普通伤害</t>
  </si>
  <si>
    <t>增加48%普通伤害</t>
  </si>
  <si>
    <t>增加72%普通伤害</t>
  </si>
  <si>
    <t>增加108%普通伤害</t>
  </si>
  <si>
    <t>持有时，攻击时将1.2%的伤害转化为自己生命值</t>
  </si>
  <si>
    <t>持有时，攻击时将2.4%的伤害转化为自己生命值</t>
  </si>
  <si>
    <t>持有时，攻击时将3.6%的伤害转化为自己生命值</t>
  </si>
  <si>
    <t>持有时，攻击时将6.0%的伤害转化为自己生命值</t>
  </si>
  <si>
    <t>持有时，攻击时将9.6%的伤害转化为自己生命值</t>
  </si>
  <si>
    <t>持有时，攻击时将14.4%的伤害转化为自己生命值</t>
  </si>
  <si>
    <t>持有时，攻击时将21.6%的伤害转化为自己生命值</t>
  </si>
  <si>
    <t>挂机修炼时基础经验速度提升2%</t>
  </si>
  <si>
    <t>挂机修炼时基础经验速度提升4%</t>
  </si>
  <si>
    <t>挂机修炼时基础经验速度提升8%</t>
  </si>
  <si>
    <t>挂机修炼时基础经验速度提升16%</t>
  </si>
  <si>
    <t>挂机修炼时基础经验速度提升32%</t>
  </si>
  <si>
    <t>挂机修炼时基础经验速度提升64%</t>
  </si>
  <si>
    <t>挂机修炼时基础经验速度提升128%</t>
  </si>
  <si>
    <t>持有时，死亡后20%概率复活，回复10%生命</t>
  </si>
  <si>
    <t>持有时，死亡后50%概率复活，回复20%生命</t>
  </si>
  <si>
    <t>持有时，死亡后60%概率复活，回复25%生命</t>
  </si>
  <si>
    <t>持有时，死亡后5%概率复活，回复5%生命</t>
  </si>
  <si>
    <t>持有时，死亡后10%概率复活，回复10%生命</t>
  </si>
  <si>
    <t>持有时，死亡后30%概率复活，回复15%生命</t>
  </si>
  <si>
    <t>持有时，死亡后40%概率复活，回复20%生命</t>
  </si>
  <si>
    <t>逍遥游侠（男）</t>
    <phoneticPr fontId="7" type="noConversion"/>
  </si>
  <si>
    <t>逍遥游侠（女）</t>
    <phoneticPr fontId="7" type="noConversion"/>
  </si>
  <si>
    <t>重生符</t>
  </si>
  <si>
    <t>重生符</t>
    <phoneticPr fontId="7" type="noConversion"/>
  </si>
  <si>
    <t>在本宗门主场景死亡后会自动复活，宗门战时不生效</t>
  </si>
  <si>
    <t>在本宗门主场景死亡后会自动复活，宗门战时不生效</t>
    <phoneticPr fontId="7" type="noConversion"/>
  </si>
  <si>
    <t>幻梦仙踪（男）</t>
    <phoneticPr fontId="7" type="noConversion"/>
  </si>
  <si>
    <t>焰武神隐（男）</t>
    <phoneticPr fontId="7" type="noConversion"/>
  </si>
  <si>
    <t>焰武神隐（女）</t>
    <phoneticPr fontId="7" type="noConversion"/>
  </si>
  <si>
    <t>幻梦仙踪（女）</t>
    <phoneticPr fontId="7" type="noConversion"/>
  </si>
  <si>
    <t>精英弟子服（女）</t>
    <phoneticPr fontId="7" type="noConversion"/>
  </si>
  <si>
    <t>攻元丹</t>
  </si>
  <si>
    <t>命元丹</t>
  </si>
  <si>
    <t>淬炼石</t>
  </si>
  <si>
    <t>砺石珠</t>
  </si>
  <si>
    <t>每颗增加宠物40点攻击</t>
  </si>
  <si>
    <t>每颗增加宠物40点攻击</t>
    <phoneticPr fontId="7" type="noConversion"/>
  </si>
  <si>
    <t>每颗增加宠物1600点生命</t>
  </si>
  <si>
    <t>每颗增加宠物1600点生命</t>
    <phoneticPr fontId="7" type="noConversion"/>
  </si>
  <si>
    <t>每颗增加20点修炼值、50点攻击、2000点生命、1点悟性</t>
    <phoneticPr fontId="7" type="noConversion"/>
  </si>
  <si>
    <t>1,1,40</t>
    <phoneticPr fontId="7" type="noConversion"/>
  </si>
  <si>
    <t>4,1,1600</t>
    <phoneticPr fontId="7" type="noConversion"/>
  </si>
  <si>
    <t>宠物装备强化道具</t>
  </si>
  <si>
    <t>宠物装备强化道具</t>
    <phoneticPr fontId="7" type="noConversion"/>
  </si>
  <si>
    <t>宠物装备进阶道具</t>
  </si>
  <si>
    <t>宠物装备进阶道具</t>
    <phoneticPr fontId="7" type="noConversion"/>
  </si>
  <si>
    <t>灵石</t>
    <phoneticPr fontId="7" type="noConversion"/>
  </si>
  <si>
    <t>宠物碎片分解而来</t>
  </si>
  <si>
    <t>5,50001,1</t>
  </si>
  <si>
    <t>5,50002,1</t>
  </si>
  <si>
    <t>5,50003,1</t>
  </si>
  <si>
    <t>5,50004,1</t>
  </si>
  <si>
    <t>5,50005,1</t>
  </si>
  <si>
    <t>5,50006,1</t>
  </si>
  <si>
    <t>5,50007,1</t>
  </si>
  <si>
    <t>5,50008,1</t>
  </si>
  <si>
    <t>灵蛇</t>
  </si>
  <si>
    <t>应龙</t>
  </si>
  <si>
    <t>金龙</t>
  </si>
  <si>
    <t>玄铁灵爪</t>
  </si>
  <si>
    <t>仙灵宝珠</t>
  </si>
  <si>
    <t>灵光护甲</t>
  </si>
  <si>
    <t>御风神环</t>
  </si>
  <si>
    <t>4,60001,1</t>
  </si>
  <si>
    <t>4,60002,1</t>
  </si>
  <si>
    <t>4,60003,1</t>
  </si>
  <si>
    <t>4,60004,1</t>
  </si>
  <si>
    <t>4,60005,1</t>
  </si>
  <si>
    <t>4,60006,1</t>
  </si>
  <si>
    <t>4,60007,1</t>
  </si>
  <si>
    <t>4,60008,1</t>
  </si>
  <si>
    <t>4,60009,1</t>
  </si>
  <si>
    <t>4,60010,1</t>
  </si>
  <si>
    <t>4,60011,1</t>
  </si>
  <si>
    <t>4,60012,1</t>
  </si>
  <si>
    <t>4,61001,1</t>
  </si>
  <si>
    <t>4,61002,1</t>
  </si>
  <si>
    <t>4,61003,1</t>
  </si>
  <si>
    <t>4,61004,1</t>
  </si>
  <si>
    <t>4,61005,1</t>
  </si>
  <si>
    <t>4,61006,1</t>
  </si>
  <si>
    <t>4,61007,1</t>
  </si>
  <si>
    <t>4,61008,1</t>
  </si>
  <si>
    <t>4,61009,1</t>
  </si>
  <si>
    <t>4,61010,1</t>
  </si>
  <si>
    <t>4,61011,1</t>
  </si>
  <si>
    <t>4,61012,1</t>
  </si>
  <si>
    <t>4,62001,1</t>
  </si>
  <si>
    <t>4,62002,1</t>
  </si>
  <si>
    <t>4,62003,1</t>
  </si>
  <si>
    <t>4,62004,1</t>
  </si>
  <si>
    <t>4,62005,1</t>
  </si>
  <si>
    <t>4,62006,1</t>
  </si>
  <si>
    <t>4,62007,1</t>
  </si>
  <si>
    <t>4,62008,1</t>
  </si>
  <si>
    <t>4,62009,1</t>
  </si>
  <si>
    <t>4,62010,1</t>
  </si>
  <si>
    <t>4,62011,1</t>
  </si>
  <si>
    <t>4,62012,1</t>
  </si>
  <si>
    <t>4,63001,1</t>
  </si>
  <si>
    <t>4,63002,1</t>
  </si>
  <si>
    <t>4,63003,1</t>
  </si>
  <si>
    <t>4,63004,1</t>
  </si>
  <si>
    <t>4,63005,1</t>
  </si>
  <si>
    <t>4,63006,1</t>
  </si>
  <si>
    <t>4,63007,1</t>
  </si>
  <si>
    <t>4,63008,1</t>
  </si>
  <si>
    <t>4,63009,1</t>
  </si>
  <si>
    <t>4,63010,1</t>
  </si>
  <si>
    <t>4,63011,1</t>
  </si>
  <si>
    <t>4,63012,1</t>
  </si>
  <si>
    <t>幼蛇</t>
  </si>
  <si>
    <t>天蛇</t>
  </si>
  <si>
    <t>蛟影</t>
  </si>
  <si>
    <t>蛟灵</t>
  </si>
  <si>
    <t>蛟皇</t>
  </si>
  <si>
    <t>幼蛇碎片</t>
    <phoneticPr fontId="7" type="noConversion"/>
  </si>
  <si>
    <t>GoodsIcon/Icon_1010</t>
    <phoneticPr fontId="7" type="noConversion"/>
  </si>
  <si>
    <t>礼物7</t>
  </si>
  <si>
    <t>使用后赠送1次礼物7</t>
  </si>
  <si>
    <t>礼物8</t>
  </si>
  <si>
    <t>使用后赠送1次礼物8</t>
  </si>
  <si>
    <t>使用后赠送1次礼物1</t>
  </si>
  <si>
    <t>GoodsIcon/Icon_1019</t>
  </si>
  <si>
    <t>GoodsIcon/Icon_1020</t>
  </si>
  <si>
    <t>6,1001,1</t>
    <phoneticPr fontId="7" type="noConversion"/>
  </si>
  <si>
    <t>仙人霸主</t>
    <phoneticPr fontId="7" type="noConversion"/>
  </si>
  <si>
    <t>凡人王者</t>
    <phoneticPr fontId="7" type="noConversion"/>
  </si>
  <si>
    <t>6,1002,1</t>
    <phoneticPr fontId="7" type="noConversion"/>
  </si>
  <si>
    <t>6,1003,1</t>
    <phoneticPr fontId="7" type="noConversion"/>
  </si>
  <si>
    <t>凡人王者</t>
  </si>
  <si>
    <t>仙人霸主</t>
  </si>
  <si>
    <t>真仙至尊</t>
  </si>
  <si>
    <t>幼蛇碎片</t>
    <phoneticPr fontId="7" type="noConversion"/>
  </si>
  <si>
    <t>攻元丹</t>
    <phoneticPr fontId="7" type="noConversion"/>
  </si>
  <si>
    <t>GoodsIcon/Icon_31012</t>
    <phoneticPr fontId="7" type="noConversion"/>
  </si>
  <si>
    <t>GoodsIcon/Icon_60001</t>
    <phoneticPr fontId="7" type="noConversion"/>
  </si>
  <si>
    <t>GoodsIcon/Icon_62001</t>
    <phoneticPr fontId="7" type="noConversion"/>
  </si>
  <si>
    <t>GoodsIcon/Icon_1030</t>
    <phoneticPr fontId="7" type="noConversion"/>
  </si>
  <si>
    <t>GoodsIcon/Icon_1031</t>
    <phoneticPr fontId="7" type="noConversion"/>
  </si>
  <si>
    <t>GoodsIcon/Icon_1040</t>
    <phoneticPr fontId="7" type="noConversion"/>
  </si>
  <si>
    <t>GoodsIcon/Icon_1041</t>
  </si>
  <si>
    <t>GoodsIcon/Icon_1042</t>
  </si>
  <si>
    <t>GoodsIcon/Icon_1043</t>
  </si>
  <si>
    <t>幼蛇碎片</t>
  </si>
  <si>
    <t>水灵石</t>
    <phoneticPr fontId="7" type="noConversion"/>
  </si>
  <si>
    <t>水系宠物碎片分解而来</t>
    <phoneticPr fontId="7" type="noConversion"/>
  </si>
  <si>
    <t>火舞凤皇（男-1天）</t>
    <phoneticPr fontId="7" type="noConversion"/>
  </si>
  <si>
    <t>2,20014,1</t>
    <phoneticPr fontId="7" type="noConversion"/>
  </si>
  <si>
    <t>2,21014,1</t>
    <phoneticPr fontId="7" type="noConversion"/>
  </si>
  <si>
    <t>2,20014,1;2,21014,1</t>
    <phoneticPr fontId="7" type="noConversion"/>
  </si>
  <si>
    <t>火舞凤皇（女-1天）</t>
    <phoneticPr fontId="7" type="noConversion"/>
  </si>
  <si>
    <t>凤凰皮肤碎片</t>
  </si>
  <si>
    <t>凤凰皮肤碎片</t>
    <phoneticPr fontId="7" type="noConversion"/>
  </si>
  <si>
    <t>凤凰坐骑碎片</t>
  </si>
  <si>
    <t>凤凰坐骑碎片</t>
    <phoneticPr fontId="7" type="noConversion"/>
  </si>
  <si>
    <t>需要数量</t>
    <phoneticPr fontId="7" type="noConversion"/>
  </si>
  <si>
    <t>最多合成数量</t>
    <phoneticPr fontId="7" type="noConversion"/>
  </si>
  <si>
    <t>int</t>
    <phoneticPr fontId="7" type="noConversion"/>
  </si>
  <si>
    <t>composeMax</t>
    <phoneticPr fontId="7" type="noConversion"/>
  </si>
  <si>
    <t>shardNum</t>
    <phoneticPr fontId="7" type="noConversion"/>
  </si>
  <si>
    <t>唯我独尊</t>
    <phoneticPr fontId="7" type="noConversion"/>
  </si>
  <si>
    <t>GoodsIcon/Icon_1050</t>
    <phoneticPr fontId="7" type="noConversion"/>
  </si>
  <si>
    <t>GoodsIcon/Icon_1051</t>
  </si>
  <si>
    <t>火凰萌羽（男-1天）</t>
    <phoneticPr fontId="7" type="noConversion"/>
  </si>
  <si>
    <t>火凰萌羽（女-1天）</t>
    <phoneticPr fontId="7" type="noConversion"/>
  </si>
  <si>
    <t>火凰萌羽（1天）</t>
    <phoneticPr fontId="7" type="noConversion"/>
  </si>
  <si>
    <t>凤凰</t>
    <phoneticPr fontId="7" type="noConversion"/>
  </si>
  <si>
    <t>5,41001,1</t>
    <phoneticPr fontId="7" type="noConversion"/>
  </si>
  <si>
    <t>火舞凤皇（男）</t>
    <phoneticPr fontId="7" type="noConversion"/>
  </si>
  <si>
    <t>2,20901,1;2,21901,1</t>
    <phoneticPr fontId="7" type="noConversion"/>
  </si>
  <si>
    <t>仙宝儿</t>
    <phoneticPr fontId="7" type="noConversion"/>
  </si>
  <si>
    <t>5,41002,1</t>
    <phoneticPr fontId="7" type="noConversion"/>
  </si>
  <si>
    <t>Icon_GoodsBig/Icon_41001</t>
    <phoneticPr fontId="7" type="noConversion"/>
  </si>
  <si>
    <t>Icon_GoodsBig/Icon_41002</t>
    <phoneticPr fontId="7" type="noConversion"/>
  </si>
  <si>
    <t>凤舞九天（男）</t>
    <phoneticPr fontId="7" type="noConversion"/>
  </si>
  <si>
    <t>凤舞九天（女）</t>
    <phoneticPr fontId="7" type="noConversion"/>
  </si>
  <si>
    <t>凤舞九天（1天）</t>
    <phoneticPr fontId="7" type="noConversion"/>
  </si>
  <si>
    <t>凤舞九天（女-1天）</t>
    <phoneticPr fontId="7" type="noConversion"/>
  </si>
  <si>
    <t>火凤凰</t>
    <phoneticPr fontId="7" type="noConversion"/>
  </si>
  <si>
    <t>2,20901,1</t>
    <phoneticPr fontId="7" type="noConversion"/>
  </si>
  <si>
    <t>2,21901,1</t>
    <phoneticPr fontId="7" type="noConversion"/>
  </si>
  <si>
    <t>神通碎片</t>
  </si>
  <si>
    <t>神通碎片</t>
    <phoneticPr fontId="7" type="noConversion"/>
  </si>
  <si>
    <t>粉色品质功法分解而得</t>
  </si>
  <si>
    <t>粉色品质功法分解而得</t>
    <phoneticPr fontId="7" type="noConversion"/>
  </si>
  <si>
    <t>持有时，攻击附加35%禁疗，持续5s</t>
  </si>
  <si>
    <t>持有时，攻击附加50%禁疗，持续5s</t>
  </si>
  <si>
    <t>持有时，攻击附加75%禁疗，持续5s</t>
  </si>
  <si>
    <t>持有时，攻击附加35%禁吸血，持续5s</t>
  </si>
  <si>
    <t>持有时，攻击附加50%禁吸血，持续5s</t>
  </si>
  <si>
    <t>持有时，攻击附加75%禁吸血，持续5s</t>
  </si>
  <si>
    <t>凤凰涅槃</t>
    <phoneticPr fontId="7" type="noConversion"/>
  </si>
  <si>
    <t>凤凰之息</t>
    <phoneticPr fontId="7" type="noConversion"/>
  </si>
  <si>
    <t>烈焰护盾</t>
    <phoneticPr fontId="7" type="noConversion"/>
  </si>
  <si>
    <t>凤凰涅槃</t>
  </si>
  <si>
    <t>凤凰之息</t>
  </si>
  <si>
    <t>烈焰护盾</t>
  </si>
  <si>
    <t>增加8400伤害，附加180%火属性伤害，对目标造成点燃效果（持续5秒），每秒造成10%伤害</t>
    <phoneticPr fontId="7" type="noConversion"/>
  </si>
  <si>
    <t>获得36%生命的烈焰护盾，30秒CD，护盾被打破时对全体造成50%伤害</t>
    <phoneticPr fontId="7" type="noConversion"/>
  </si>
  <si>
    <t>死亡后复活，每次复活后恢复生命降低10-20%，当复活后生命低于50%时，不再复活，技能CD5分钟</t>
    <phoneticPr fontId="7" type="noConversion"/>
  </si>
  <si>
    <t>drop</t>
    <phoneticPr fontId="7" type="noConversion"/>
  </si>
  <si>
    <t>随机奖励</t>
    <phoneticPr fontId="7" type="noConversion"/>
  </si>
  <si>
    <t>3,10008,1</t>
    <phoneticPr fontId="7" type="noConversion"/>
  </si>
  <si>
    <t>3,10108,1</t>
    <phoneticPr fontId="7" type="noConversion"/>
  </si>
  <si>
    <t>3,10208,1</t>
    <phoneticPr fontId="7" type="noConversion"/>
  </si>
  <si>
    <t>3,10308,1</t>
    <phoneticPr fontId="7" type="noConversion"/>
  </si>
  <si>
    <t>3,10408,1</t>
    <phoneticPr fontId="7" type="noConversion"/>
  </si>
  <si>
    <t>3,10508,1</t>
    <phoneticPr fontId="7" type="noConversion"/>
  </si>
  <si>
    <t>3,10608,1</t>
    <phoneticPr fontId="7" type="noConversion"/>
  </si>
  <si>
    <t>3,10708,1</t>
    <phoneticPr fontId="7" type="noConversion"/>
  </si>
  <si>
    <t>3,10808,1</t>
    <phoneticPr fontId="7" type="noConversion"/>
  </si>
  <si>
    <t>3,10908,1</t>
    <phoneticPr fontId="7" type="noConversion"/>
  </si>
  <si>
    <t>3,11008,1</t>
    <phoneticPr fontId="7" type="noConversion"/>
  </si>
  <si>
    <t>3,11108,1</t>
    <phoneticPr fontId="7" type="noConversion"/>
  </si>
  <si>
    <t>3,11208,1</t>
    <phoneticPr fontId="7" type="noConversion"/>
  </si>
  <si>
    <t>3,11308,1</t>
    <phoneticPr fontId="7" type="noConversion"/>
  </si>
  <si>
    <t>3,11408,1</t>
    <phoneticPr fontId="7" type="noConversion"/>
  </si>
  <si>
    <t>3,11508,1</t>
    <phoneticPr fontId="7" type="noConversion"/>
  </si>
  <si>
    <t>3,11608,1</t>
    <phoneticPr fontId="7" type="noConversion"/>
  </si>
  <si>
    <t>3,11708,1</t>
    <phoneticPr fontId="7" type="noConversion"/>
  </si>
  <si>
    <t>3,11808,1</t>
    <phoneticPr fontId="7" type="noConversion"/>
  </si>
  <si>
    <t>3,11908,1</t>
    <phoneticPr fontId="7" type="noConversion"/>
  </si>
  <si>
    <t>3,12008,1</t>
    <phoneticPr fontId="7" type="noConversion"/>
  </si>
  <si>
    <t>神·凝神决</t>
  </si>
  <si>
    <t>挂机修炼时额外增加修炼经验4900</t>
  </si>
  <si>
    <t>神·聚灵经</t>
  </si>
  <si>
    <t>挂机修炼时基础经验速度提升192%</t>
  </si>
  <si>
    <t>挂机修炼时每5秒恢复0.4%生命，额外再回复100</t>
  </si>
  <si>
    <t>挂机修炼时每5秒恢复0.7%生命，额外再回复200</t>
  </si>
  <si>
    <t>挂机修炼时每5秒恢复1.0%生命，额外再回复300</t>
  </si>
  <si>
    <t>挂机修炼时每5秒恢复1.3%生命，额外再回复400</t>
  </si>
  <si>
    <t>挂机修炼时每5秒恢复1.6%生命，额外再回复500</t>
  </si>
  <si>
    <t>挂机修炼时每5秒恢复2.0%生命，额外再回复600</t>
  </si>
  <si>
    <t>挂机修炼时每5秒恢复2.5%生命，额外再回复800</t>
  </si>
  <si>
    <t>神·回春术</t>
  </si>
  <si>
    <t>挂机修炼时每5秒恢复3.1%生命，额外再回复800</t>
  </si>
  <si>
    <t>神·血魔功</t>
  </si>
  <si>
    <t>挂机修炼时每10秒消耗生命5.0%增加修炼经验6860</t>
  </si>
  <si>
    <t>神·风刃裂空</t>
  </si>
  <si>
    <t>增加6000伤害，附加200%风属性伤害</t>
  </si>
  <si>
    <t>神·地脉之力</t>
  </si>
  <si>
    <t>增加6000伤害，附加200%土属性伤害</t>
  </si>
  <si>
    <t>神·寒冰破浪</t>
  </si>
  <si>
    <t>增加6000伤害，附加200%水属性伤害</t>
  </si>
  <si>
    <t>神·炎阳真火</t>
  </si>
  <si>
    <t>增加6000伤害，附加200%火属性伤害</t>
  </si>
  <si>
    <t>神·风神守护</t>
  </si>
  <si>
    <t>减少48%普通伤害，额外减少168%风属性伤害</t>
  </si>
  <si>
    <t>神·地脉守护</t>
  </si>
  <si>
    <t>减少48%普通伤害，额外减少168%土属性伤害</t>
  </si>
  <si>
    <t>神·水灵之语</t>
  </si>
  <si>
    <t>减少48%普通伤害，额外减少168%水属性伤害</t>
  </si>
  <si>
    <t>神·火甲之语</t>
  </si>
  <si>
    <t>减少48%普通伤害，额外减少168%火属性伤害</t>
  </si>
  <si>
    <t>神·不动如山</t>
  </si>
  <si>
    <t>减少144%普通伤害</t>
  </si>
  <si>
    <t>神·狂暴之力</t>
  </si>
  <si>
    <t>增加144%普通伤害</t>
  </si>
  <si>
    <t>神·灵盾护体</t>
  </si>
  <si>
    <t>获得48%生命的护盾30秒CD</t>
  </si>
  <si>
    <t>神·血祭魔功</t>
  </si>
  <si>
    <t>持有时，攻击时将28.8%的伤害转化为自己生命值</t>
  </si>
  <si>
    <t>神·长生真诀</t>
  </si>
  <si>
    <t>持有时，被攻击回复受到伤害4%的生命值,最多不能超过当前生命值的3.2%</t>
  </si>
  <si>
    <t>神·斗转星移</t>
  </si>
  <si>
    <t>持有时，受到的伤害50%随机转移给其他人</t>
  </si>
  <si>
    <t>神·太乙神术</t>
  </si>
  <si>
    <t>持有时，攻击附加100%禁疗，持续5s</t>
  </si>
  <si>
    <t>神·天璇灵决</t>
  </si>
  <si>
    <t>持有时，攻击附加100%禁吸血，持续5s</t>
  </si>
  <si>
    <t>神·身外化身</t>
  </si>
  <si>
    <t>持有时，死亡后65%概率复活，回复30%生命</t>
  </si>
  <si>
    <t>3,15001,1</t>
    <phoneticPr fontId="7" type="noConversion"/>
  </si>
  <si>
    <t>3,15101,1</t>
    <phoneticPr fontId="7" type="noConversion"/>
  </si>
  <si>
    <t>3,15201,1</t>
    <phoneticPr fontId="7" type="noConversion"/>
  </si>
  <si>
    <t>死亡后复活，每次复活后恢复生命降低10-20%，当复活后生命低于50%时，不再复活，技能CD5分钟</t>
  </si>
  <si>
    <t>增加8400伤害，附加180%火属性伤害，对目标造成点燃效果（持续5秒），每秒造成10%伤害</t>
  </si>
  <si>
    <t>获得36%生命的烈焰护盾，30秒CD，护盾被打破时对全体造成50%伤害</t>
  </si>
  <si>
    <t>GoodsIcon/Icon_1011</t>
    <phoneticPr fontId="7" type="noConversion"/>
  </si>
  <si>
    <t>灵宝碎片</t>
    <phoneticPr fontId="7" type="noConversion"/>
  </si>
  <si>
    <t>攻击灵宝</t>
  </si>
  <si>
    <t>攻击灵宝</t>
    <phoneticPr fontId="7" type="noConversion"/>
  </si>
  <si>
    <t>生命灵宝</t>
  </si>
  <si>
    <t>生命灵宝</t>
    <phoneticPr fontId="7" type="noConversion"/>
  </si>
  <si>
    <t>雪灵狐</t>
    <phoneticPr fontId="7" type="noConversion"/>
  </si>
  <si>
    <t>5,41003,1</t>
    <phoneticPr fontId="7" type="noConversion"/>
  </si>
  <si>
    <t>Icon_GoodsBig/Icon_41003</t>
    <phoneticPr fontId="7" type="noConversion"/>
  </si>
  <si>
    <t>碧麒麟</t>
    <phoneticPr fontId="7" type="noConversion"/>
  </si>
  <si>
    <t>5,41004,1</t>
    <phoneticPr fontId="7" type="noConversion"/>
  </si>
  <si>
    <t>5,41005,1</t>
    <phoneticPr fontId="7" type="noConversion"/>
  </si>
  <si>
    <t>Icon_GoodsBig/Icon_41004</t>
  </si>
  <si>
    <t>Icon_GoodsBig/Icon_41005</t>
  </si>
  <si>
    <t>1,3,100</t>
    <phoneticPr fontId="7" type="noConversion"/>
  </si>
  <si>
    <t>4,3,100</t>
    <phoneticPr fontId="7" type="noConversion"/>
  </si>
  <si>
    <t>金龙鱼</t>
    <phoneticPr fontId="7" type="noConversion"/>
  </si>
  <si>
    <t>GoodsIcon/Icon_1061</t>
    <phoneticPr fontId="7" type="noConversion"/>
  </si>
  <si>
    <t>GoodsIcon/Icon_1062</t>
  </si>
  <si>
    <t>GoodsIcon/Icon_1063</t>
  </si>
  <si>
    <t>花间蝶</t>
  </si>
  <si>
    <t>花间蝶</t>
    <phoneticPr fontId="7" type="noConversion"/>
  </si>
  <si>
    <t>5,41006,1</t>
    <phoneticPr fontId="7" type="noConversion"/>
  </si>
  <si>
    <t>Icon_GoodsBig/Icon_41006</t>
    <phoneticPr fontId="7" type="noConversion"/>
  </si>
  <si>
    <t>金龙鱼</t>
  </si>
  <si>
    <t>攻击时将1.2%的伤害转化为自己生命值，不能超过最大生命值的1%</t>
  </si>
  <si>
    <t>攻击时将2.4%的伤害转化为自己生命值，不能超过最大生命值的1%</t>
  </si>
  <si>
    <t>攻击时将3.6%的伤害转化为自己生命值，不能超过最大生命值的1%</t>
  </si>
  <si>
    <t>攻击时将6.0%的伤害转化为自己生命值，不能超过最大生命值的1.5%</t>
  </si>
  <si>
    <t>攻击时将8.4%的伤害转化为自己生命值，不能超过最大生命值的1.5%</t>
  </si>
  <si>
    <t>攻击时将12.0%的伤害转化为自己生命值，不能超过最大生命值的1.5%</t>
  </si>
  <si>
    <t>攻击时将16.8%的伤害转化为自己生命值，不能超过最大生命值的2%</t>
  </si>
  <si>
    <t>攻击时将21.6%的伤害转化为自己生命值，不能超过最大生命值的2%</t>
  </si>
  <si>
    <t>5,41007,1</t>
    <phoneticPr fontId="7" type="noConversion"/>
  </si>
  <si>
    <t>Icon_GoodsBig/Icon_41007</t>
    <phoneticPr fontId="7" type="noConversion"/>
  </si>
  <si>
    <t>月影兔</t>
    <phoneticPr fontId="7" type="noConversion"/>
  </si>
  <si>
    <t>string</t>
    <phoneticPr fontId="7" type="noConversion"/>
  </si>
  <si>
    <t>(list#sep=;),string</t>
    <phoneticPr fontId="7" type="noConversion"/>
  </si>
  <si>
    <t>n1/Dg1905sj1FyoBlQBvmbaDZFBNaKuKZH6zxHkv8Lg5x2cRfrKUTb8gzMs=</t>
  </si>
  <si>
    <t>28rYzVFNyXEXFC8HI+f/WG+I7a6lfl3OyZZjUS+CVuwCgYZrPrUdytGHu0c=</t>
  </si>
  <si>
    <t>PJ0FFeaDzXUreuUBZH6Hs+b56Jh0tQjrq0bIrrlZmv13GSAL9Q1hf59fjGk=</t>
  </si>
  <si>
    <t>IkkadLfz7O/a5UR45p/OOCCG6ewAWVbsuzR/Z+v1v76CBU+mTG/wPjqdpfg=</t>
  </si>
  <si>
    <t>gx7pmjQfhBaDOG2XkWI2peZ66YFWkCWRjZXpTqb23O/epru+sxWyTV/3Ufs=</t>
  </si>
  <si>
    <t>YbLESoUj053FWVYPWUNOAtp4FYnb+/eZbyrLi7ndArVFz14rivgxf0cFrKs=</t>
  </si>
  <si>
    <t>rROiXLcY2saGvxHt3fAkYbWvbbikhEzbo0wpI794zEv+A2SCLrkNKYZEVuE=</t>
  </si>
  <si>
    <t>fJs8HKQ0xlPRixn8JAUiL2gFRiLD9S6IFCFdvZODSnhyo9YN8q7xUuVVyZI=</t>
  </si>
  <si>
    <t>11582</t>
  </si>
  <si>
    <t>11584</t>
  </si>
  <si>
    <t>11606</t>
  </si>
  <si>
    <t>11585</t>
  </si>
  <si>
    <t>11586</t>
  </si>
  <si>
    <t>11587</t>
  </si>
  <si>
    <t>11590</t>
  </si>
  <si>
    <t>12252</t>
  </si>
  <si>
    <t>GoodsIcon/Icon_2013</t>
    <phoneticPr fontId="7" type="noConversion"/>
  </si>
  <si>
    <t>GoodsIcon/Icon_2014</t>
  </si>
  <si>
    <t>GoodsIcon/Icon_2015</t>
  </si>
  <si>
    <t>GoodsIcon/Icon_2016</t>
  </si>
  <si>
    <t>GoodsIcon/Icon_2017</t>
  </si>
  <si>
    <t>GoodsIcon/Icon_2018</t>
  </si>
  <si>
    <t>GoodsIcon/Icon_2019</t>
  </si>
  <si>
    <t>GoodsIcon/Icon_2020</t>
  </si>
  <si>
    <t>蝶舞霓裳（男）</t>
  </si>
  <si>
    <t>蝶舞霓裳（男）</t>
    <phoneticPr fontId="7" type="noConversion"/>
  </si>
  <si>
    <t>2,20015,1</t>
    <phoneticPr fontId="7" type="noConversion"/>
  </si>
  <si>
    <t>蝶舞霓裳（女）</t>
  </si>
  <si>
    <t>蝶舞霓裳（女）</t>
    <phoneticPr fontId="7" type="noConversion"/>
  </si>
  <si>
    <t>2,21015,1</t>
    <phoneticPr fontId="7" type="noConversion"/>
  </si>
  <si>
    <t>GoodsIcon/Icon_3013</t>
    <phoneticPr fontId="7" type="noConversion"/>
  </si>
  <si>
    <t>GoodsIcon/Icon_3014</t>
  </si>
  <si>
    <t>GoodsIcon/Icon_3015</t>
  </si>
  <si>
    <t>GoodsIcon/Icon_3016</t>
  </si>
  <si>
    <t>GoodsIcon/Icon_3017</t>
  </si>
  <si>
    <t>GoodsIcon/Icon_3018</t>
  </si>
  <si>
    <t>GoodsIcon/Icon_3019</t>
  </si>
  <si>
    <t>GoodsIcon/Icon_3020</t>
  </si>
  <si>
    <t>4898</t>
  </si>
  <si>
    <t>5887</t>
  </si>
  <si>
    <t>4893</t>
  </si>
  <si>
    <t>4895</t>
  </si>
  <si>
    <t>4896</t>
  </si>
  <si>
    <t>7028</t>
  </si>
  <si>
    <t>5478</t>
  </si>
  <si>
    <t>9790</t>
  </si>
  <si>
    <t>1486</t>
    <phoneticPr fontId="7" type="noConversion"/>
  </si>
  <si>
    <t>1294</t>
    <phoneticPr fontId="7" type="noConversion"/>
  </si>
  <si>
    <t>1319</t>
    <phoneticPr fontId="7" type="noConversion"/>
  </si>
  <si>
    <t>1320</t>
  </si>
  <si>
    <t>1321</t>
  </si>
  <si>
    <t>1602</t>
  </si>
  <si>
    <t>1455</t>
    <phoneticPr fontId="7" type="noConversion"/>
  </si>
  <si>
    <t>2072</t>
    <phoneticPr fontId="7" type="noConversion"/>
  </si>
  <si>
    <t>乾坤袋</t>
    <phoneticPr fontId="7" type="noConversion"/>
  </si>
  <si>
    <t>仙缘宝盒</t>
    <phoneticPr fontId="7" type="noConversion"/>
  </si>
  <si>
    <t>GoodsIcon/Icon_1064</t>
    <phoneticPr fontId="7" type="noConversion"/>
  </si>
  <si>
    <t>1,1012,1</t>
    <phoneticPr fontId="7" type="noConversion"/>
  </si>
  <si>
    <t>GoodsIcon/Icon_1005</t>
    <phoneticPr fontId="7" type="noConversion"/>
  </si>
  <si>
    <t>帝皇威临（男）</t>
  </si>
  <si>
    <t>2,20902,1</t>
    <phoneticPr fontId="7" type="noConversion"/>
  </si>
  <si>
    <t>2,21902,1</t>
    <phoneticPr fontId="7" type="noConversion"/>
  </si>
  <si>
    <t>帝皇威临（女）</t>
  </si>
  <si>
    <t>五彩猫</t>
  </si>
  <si>
    <t>飞翔马</t>
  </si>
  <si>
    <t>5,41008,1</t>
    <phoneticPr fontId="7" type="noConversion"/>
  </si>
  <si>
    <t>5,41009,1</t>
    <phoneticPr fontId="7" type="noConversion"/>
  </si>
  <si>
    <t>Icon_GoodsBig/Icon_41008</t>
    <phoneticPr fontId="7" type="noConversion"/>
  </si>
  <si>
    <t>Icon_GoodsBig/Icon_41009</t>
    <phoneticPr fontId="7" type="noConversion"/>
  </si>
  <si>
    <t>1,1,60;4,1,2400;29,1,20;31,1,1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</si>
</sst>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/>
    <xf numFmtId="0" fontId="2" fillId="3" borderId="1" xfId="2" applyBorder="1" applyAlignment="1"/>
    <xf numFmtId="0" fontId="0" fillId="0" borderId="0" xfId="0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49" fontId="0" fillId="0" borderId="0" xfId="0" applyNumberFormat="1">
      <alignment vertical="center"/>
    </xf>
    <xf numFmtId="0" fontId="4" fillId="0" borderId="0" xfId="3" applyAlignment="1">
      <alignment horizontal="center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vertical="center" wrapText="1"/>
    </xf>
    <xf numFmtId="49" fontId="4" fillId="0" borderId="0" xfId="3" applyNumberFormat="1" applyAlignment="1">
      <alignment horizontal="center" vertical="center"/>
    </xf>
    <xf numFmtId="49" fontId="4" fillId="4" borderId="0" xfId="3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4" fillId="0" borderId="0" xfId="0" applyFont="1">
      <alignment vertical="center"/>
    </xf>
    <xf numFmtId="49" fontId="8" fillId="0" borderId="0" xfId="0" applyNumberFormat="1" applyFont="1">
      <alignment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>
      <alignment vertical="center"/>
    </xf>
    <xf numFmtId="0" fontId="8" fillId="4" borderId="0" xfId="0" applyFont="1" applyFill="1" applyAlignment="1">
      <alignment horizontal="left"/>
    </xf>
    <xf numFmtId="0" fontId="0" fillId="4" borderId="0" xfId="0" applyFill="1" applyAlignment="1">
      <alignment horizontal="center" vertical="center"/>
    </xf>
    <xf numFmtId="0" fontId="8" fillId="4" borderId="0" xfId="0" applyFon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/>
    </xf>
    <xf numFmtId="0" fontId="4" fillId="4" borderId="0" xfId="3" applyFill="1" applyAlignment="1">
      <alignment horizontal="center" vertical="center"/>
    </xf>
    <xf numFmtId="49" fontId="0" fillId="4" borderId="0" xfId="0" applyNumberFormat="1" applyFill="1">
      <alignment vertical="center"/>
    </xf>
    <xf numFmtId="0" fontId="0" fillId="4" borderId="0" xfId="0" applyFill="1" applyAlignment="1"/>
    <xf numFmtId="0" fontId="0" fillId="5" borderId="0" xfId="0" applyFill="1" applyAlignment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8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4" fillId="5" borderId="0" xfId="3" applyFill="1" applyAlignment="1">
      <alignment horizontal="center" vertical="center"/>
    </xf>
    <xf numFmtId="49" fontId="4" fillId="5" borderId="0" xfId="3" applyNumberFormat="1" applyFill="1" applyAlignment="1">
      <alignment horizontal="center" vertical="center"/>
    </xf>
    <xf numFmtId="0" fontId="4" fillId="5" borderId="0" xfId="0" applyFont="1" applyFill="1">
      <alignment vertical="center"/>
    </xf>
    <xf numFmtId="49" fontId="8" fillId="0" borderId="0" xfId="0" applyNumberFormat="1" applyFont="1" applyAlignment="1">
      <alignment horizontal="center" vertical="center"/>
    </xf>
    <xf numFmtId="0" fontId="4" fillId="4" borderId="0" xfId="0" applyFont="1" applyFill="1">
      <alignment vertical="center"/>
    </xf>
    <xf numFmtId="0" fontId="8" fillId="4" borderId="0" xfId="0" applyFont="1" applyFill="1" applyAlignment="1">
      <alignment horizontal="right"/>
    </xf>
    <xf numFmtId="0" fontId="8" fillId="4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49" fontId="12" fillId="0" borderId="0" xfId="3" applyNumberFormat="1" applyFont="1" applyAlignment="1">
      <alignment horizontal="center" vertical="center"/>
    </xf>
  </cellXfs>
  <cellStyles count="5">
    <cellStyle name="差" xfId="2" builtinId="27"/>
    <cellStyle name="常规" xfId="0" builtinId="0"/>
    <cellStyle name="常规 2" xfId="3" xr:uid="{00000000-0005-0000-0000-000031000000}"/>
    <cellStyle name="常规 3" xfId="4" xr:uid="{180CECA7-7F40-4123-8560-5638EDD599E5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nmuGame\immortal-dataConfig\DataTables\Datas\Quality.xlsx" TargetMode="External"/><Relationship Id="rId1" Type="http://schemas.openxmlformats.org/officeDocument/2006/relationships/externalLinkPath" Target="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品质主表"/>
    </sheetNames>
    <sheetDataSet>
      <sheetData sheetId="0">
        <row r="6">
          <cell r="B6">
            <v>0</v>
          </cell>
          <cell r="C6" t="str">
            <v>ffffff</v>
          </cell>
        </row>
        <row r="7">
          <cell r="B7">
            <v>1</v>
          </cell>
          <cell r="C7" t="str">
            <v>18e71a</v>
          </cell>
        </row>
        <row r="8">
          <cell r="B8">
            <v>2</v>
          </cell>
          <cell r="C8" t="str">
            <v>40f3ff</v>
          </cell>
        </row>
        <row r="9">
          <cell r="B9">
            <v>3</v>
          </cell>
          <cell r="C9" t="str">
            <v>f044dc</v>
          </cell>
        </row>
        <row r="10">
          <cell r="B10">
            <v>4</v>
          </cell>
          <cell r="C10" t="str">
            <v>edde00</v>
          </cell>
        </row>
        <row r="11">
          <cell r="B11">
            <v>5</v>
          </cell>
          <cell r="C11" t="str">
            <v>ff8000</v>
          </cell>
        </row>
        <row r="12">
          <cell r="B12">
            <v>6</v>
          </cell>
          <cell r="C12" t="str">
            <v>ff4d4d</v>
          </cell>
        </row>
        <row r="13">
          <cell r="B13">
            <v>7</v>
          </cell>
          <cell r="C13" t="str">
            <v>ff779d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斌 陈" id="{F5F4D2EB-3A5F-4EE1-8940-4FB7D9EC800D}" userId="aad992ac37eba92f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4-11-27T05:23:11.86" personId="{F5F4D2EB-3A5F-4EE1-8940-4FB7D9EC800D}" id="{1283DFD1-2D63-4D4A-988A-75D654145981}">
    <text>0表示没有数量限制，1表示只能合成1个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0"/>
  <sheetViews>
    <sheetView tabSelected="1" workbookViewId="0">
      <pane ySplit="5" topLeftCell="A6" activePane="bottomLeft" state="frozen"/>
      <selection pane="bottomLeft" activeCell="I8" sqref="I8"/>
    </sheetView>
  </sheetViews>
  <sheetFormatPr defaultColWidth="9" defaultRowHeight="13.5" x14ac:dyDescent="0.3"/>
  <cols>
    <col min="2" max="2" width="9" style="1"/>
    <col min="3" max="3" width="10" customWidth="1"/>
    <col min="4" max="4" width="45.1328125" customWidth="1"/>
    <col min="5" max="5" width="14.265625" customWidth="1"/>
    <col min="6" max="6" width="13" customWidth="1"/>
    <col min="7" max="7" width="11.73046875" customWidth="1"/>
    <col min="8" max="8" width="14.73046875" customWidth="1"/>
    <col min="9" max="9" width="17" style="9" customWidth="1"/>
    <col min="10" max="10" width="15.9296875" style="9" customWidth="1"/>
    <col min="11" max="11" width="11.86328125" style="9" customWidth="1"/>
    <col min="12" max="12" width="12.796875" customWidth="1"/>
    <col min="13" max="13" width="12.6640625" customWidth="1"/>
    <col min="14" max="14" width="19" customWidth="1"/>
    <col min="15" max="15" width="12.46484375" customWidth="1"/>
    <col min="16" max="16" width="15.46484375" customWidth="1"/>
    <col min="17" max="17" width="19" customWidth="1"/>
    <col min="18" max="18" width="10" customWidth="1"/>
  </cols>
  <sheetData>
    <row r="1" spans="1:20" x14ac:dyDescent="0.3">
      <c r="A1" s="2" t="s">
        <v>0</v>
      </c>
      <c r="B1" s="1" t="s">
        <v>1</v>
      </c>
      <c r="C1" t="s">
        <v>2</v>
      </c>
      <c r="D1" s="1" t="s">
        <v>3</v>
      </c>
      <c r="E1" s="16" t="s">
        <v>328</v>
      </c>
      <c r="F1" t="s">
        <v>4</v>
      </c>
      <c r="G1" t="s">
        <v>5</v>
      </c>
      <c r="H1" t="s">
        <v>6</v>
      </c>
      <c r="I1" s="9" t="s">
        <v>7</v>
      </c>
      <c r="J1" s="9" t="s">
        <v>8</v>
      </c>
      <c r="K1" s="16" t="s">
        <v>540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16" t="s">
        <v>350</v>
      </c>
      <c r="S1" s="16" t="s">
        <v>551</v>
      </c>
    </row>
    <row r="2" spans="1:20" x14ac:dyDescent="0.3">
      <c r="A2" s="2" t="s">
        <v>0</v>
      </c>
    </row>
    <row r="3" spans="1:20" x14ac:dyDescent="0.3">
      <c r="A3" s="3" t="s">
        <v>15</v>
      </c>
      <c r="B3" s="1" t="s">
        <v>16</v>
      </c>
      <c r="C3" t="s">
        <v>17</v>
      </c>
      <c r="D3" s="16" t="s">
        <v>939</v>
      </c>
      <c r="E3" t="s">
        <v>18</v>
      </c>
      <c r="F3" t="s">
        <v>19</v>
      </c>
      <c r="G3" t="s">
        <v>20</v>
      </c>
      <c r="H3" t="s">
        <v>21</v>
      </c>
      <c r="I3" s="9" t="s">
        <v>22</v>
      </c>
      <c r="J3" s="9" t="s">
        <v>23</v>
      </c>
      <c r="K3" s="16" t="s">
        <v>940</v>
      </c>
      <c r="L3" t="s">
        <v>16</v>
      </c>
      <c r="M3" t="s">
        <v>21</v>
      </c>
      <c r="N3" t="s">
        <v>24</v>
      </c>
      <c r="O3" t="s">
        <v>16</v>
      </c>
      <c r="P3" t="s">
        <v>16</v>
      </c>
      <c r="Q3" t="s">
        <v>21</v>
      </c>
      <c r="R3" t="s">
        <v>17</v>
      </c>
      <c r="S3" t="s">
        <v>17</v>
      </c>
    </row>
    <row r="4" spans="1:20" x14ac:dyDescent="0.3">
      <c r="A4" s="3" t="s">
        <v>25</v>
      </c>
      <c r="I4" s="9" t="s">
        <v>26</v>
      </c>
      <c r="J4" s="9" t="s">
        <v>26</v>
      </c>
      <c r="N4" t="s">
        <v>27</v>
      </c>
    </row>
    <row r="5" spans="1:20" ht="27" x14ac:dyDescent="0.3">
      <c r="A5" s="2" t="s">
        <v>28</v>
      </c>
      <c r="B5" s="1" t="s">
        <v>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9" t="s">
        <v>35</v>
      </c>
      <c r="J5" s="9" t="s">
        <v>36</v>
      </c>
      <c r="K5" s="9" t="s">
        <v>37</v>
      </c>
      <c r="L5" t="s">
        <v>38</v>
      </c>
      <c r="M5" t="s">
        <v>39</v>
      </c>
      <c r="N5" t="s">
        <v>40</v>
      </c>
      <c r="O5" s="12" t="s">
        <v>41</v>
      </c>
      <c r="P5" t="s">
        <v>42</v>
      </c>
      <c r="Q5" t="s">
        <v>43</v>
      </c>
      <c r="R5" s="16" t="s">
        <v>349</v>
      </c>
      <c r="S5" s="16" t="s">
        <v>552</v>
      </c>
    </row>
    <row r="6" spans="1:20" s="6" customFormat="1" x14ac:dyDescent="0.3">
      <c r="B6" s="1">
        <v>1</v>
      </c>
      <c r="C6" s="20" t="s">
        <v>373</v>
      </c>
      <c r="D6" s="7" t="s">
        <v>44</v>
      </c>
      <c r="E6" s="4">
        <v>1</v>
      </c>
      <c r="F6" s="4">
        <v>1</v>
      </c>
      <c r="G6" s="10">
        <v>1</v>
      </c>
      <c r="H6" s="10">
        <v>1</v>
      </c>
      <c r="I6" s="13"/>
      <c r="J6" s="13"/>
      <c r="K6" s="13"/>
      <c r="L6" s="4">
        <v>1</v>
      </c>
      <c r="M6" s="4">
        <v>1</v>
      </c>
      <c r="N6" s="4">
        <v>1</v>
      </c>
      <c r="O6" s="4">
        <v>0</v>
      </c>
      <c r="P6" s="4">
        <v>0</v>
      </c>
      <c r="Q6" s="4">
        <v>0</v>
      </c>
      <c r="R6" s="7" t="str">
        <f>"&lt;color=#"&amp;VLOOKUP(E6,[1]品质主表!$B$6:$C$13,2,FALSE)&amp;"&gt;"&amp;C6&amp;"&lt;/color&gt;"</f>
        <v>&lt;color=#18e71a&gt;修炼经验&lt;/color&gt;</v>
      </c>
      <c r="S6" s="18" t="str">
        <f>R6</f>
        <v>&lt;color=#18e71a&gt;修炼经验&lt;/color&gt;</v>
      </c>
      <c r="T6" s="18"/>
    </row>
    <row r="7" spans="1:20" s="6" customFormat="1" x14ac:dyDescent="0.3">
      <c r="B7" s="1">
        <v>2</v>
      </c>
      <c r="C7" s="7" t="s">
        <v>45</v>
      </c>
      <c r="D7" s="7" t="s">
        <v>45</v>
      </c>
      <c r="E7" s="4">
        <v>1</v>
      </c>
      <c r="F7" s="4">
        <v>1</v>
      </c>
      <c r="G7" s="10">
        <v>1</v>
      </c>
      <c r="H7" s="10">
        <v>1</v>
      </c>
      <c r="I7" s="13"/>
      <c r="J7" s="13"/>
      <c r="K7" s="13"/>
      <c r="L7" s="4">
        <v>1</v>
      </c>
      <c r="M7" s="4">
        <v>1</v>
      </c>
      <c r="N7" s="4">
        <v>2</v>
      </c>
      <c r="O7" s="4">
        <v>0</v>
      </c>
      <c r="P7" s="4">
        <v>0</v>
      </c>
      <c r="Q7" s="4">
        <v>0</v>
      </c>
      <c r="R7" s="7" t="str">
        <f>"&lt;color=#"&amp;VLOOKUP(E7,[1]品质主表!$B$6:$C$13,2,FALSE)&amp;"&gt;"&amp;C7&amp;"&lt;/color&gt;"</f>
        <v>&lt;color=#18e71a&gt;阵法经验&lt;/color&gt;</v>
      </c>
      <c r="S7" s="18" t="str">
        <f t="shared" ref="S7:S21" si="0">R7</f>
        <v>&lt;color=#18e71a&gt;阵法经验&lt;/color&gt;</v>
      </c>
    </row>
    <row r="8" spans="1:20" s="6" customFormat="1" x14ac:dyDescent="0.3">
      <c r="B8" s="1">
        <v>1001</v>
      </c>
      <c r="C8" s="7" t="s">
        <v>46</v>
      </c>
      <c r="D8" s="20" t="s">
        <v>663</v>
      </c>
      <c r="E8" s="4">
        <v>3</v>
      </c>
      <c r="F8" s="4">
        <v>2</v>
      </c>
      <c r="G8" s="10">
        <v>1</v>
      </c>
      <c r="H8" s="10">
        <v>1</v>
      </c>
      <c r="I8" s="13" t="s">
        <v>1010</v>
      </c>
      <c r="J8" s="13"/>
      <c r="K8" s="13"/>
      <c r="L8" s="4">
        <v>1001</v>
      </c>
      <c r="M8" s="4">
        <v>0</v>
      </c>
      <c r="N8" s="4">
        <v>1001</v>
      </c>
      <c r="O8" s="4">
        <v>0</v>
      </c>
      <c r="P8" s="4">
        <v>0</v>
      </c>
      <c r="Q8" s="4">
        <v>0</v>
      </c>
      <c r="R8" s="7" t="str">
        <f>"&lt;color=#"&amp;VLOOKUP(E8,[1]品质主表!$B$6:$C$13,2,FALSE)&amp;"&gt;"&amp;C8&amp;"&lt;/color&gt;"</f>
        <v>&lt;color=#f044dc&gt;悟性丹&lt;/color&gt;</v>
      </c>
      <c r="S8" s="18" t="str">
        <f t="shared" si="0"/>
        <v>&lt;color=#f044dc&gt;悟性丹&lt;/color&gt;</v>
      </c>
    </row>
    <row r="9" spans="1:20" s="6" customFormat="1" x14ac:dyDescent="0.3">
      <c r="B9" s="1">
        <v>1002</v>
      </c>
      <c r="C9" s="7" t="s">
        <v>47</v>
      </c>
      <c r="D9" s="7" t="s">
        <v>48</v>
      </c>
      <c r="E9" s="4">
        <v>3</v>
      </c>
      <c r="F9" s="4">
        <v>3</v>
      </c>
      <c r="G9" s="10">
        <v>1</v>
      </c>
      <c r="H9" s="10">
        <v>1</v>
      </c>
      <c r="I9" s="13"/>
      <c r="J9" s="13"/>
      <c r="K9" s="13" t="s">
        <v>49</v>
      </c>
      <c r="L9" s="4">
        <v>1002</v>
      </c>
      <c r="M9" s="4">
        <v>0</v>
      </c>
      <c r="N9" s="4">
        <v>1002</v>
      </c>
      <c r="O9" s="4">
        <v>0</v>
      </c>
      <c r="P9" s="4">
        <v>0</v>
      </c>
      <c r="Q9" s="4">
        <v>0</v>
      </c>
      <c r="R9" s="7" t="str">
        <f>"&lt;color=#"&amp;VLOOKUP(E9,[1]品质主表!$B$6:$C$13,2,FALSE)&amp;"&gt;"&amp;C9&amp;"&lt;/color&gt;"</f>
        <v>&lt;color=#f044dc&gt;突破丹&lt;/color&gt;</v>
      </c>
      <c r="S9" s="18" t="str">
        <f t="shared" si="0"/>
        <v>&lt;color=#f044dc&gt;突破丹&lt;/color&gt;</v>
      </c>
    </row>
    <row r="10" spans="1:20" s="6" customFormat="1" x14ac:dyDescent="0.3">
      <c r="B10" s="1">
        <v>1003</v>
      </c>
      <c r="C10" s="7" t="s">
        <v>50</v>
      </c>
      <c r="D10" s="7" t="s">
        <v>51</v>
      </c>
      <c r="E10" s="4">
        <v>3</v>
      </c>
      <c r="F10" s="4">
        <v>4</v>
      </c>
      <c r="G10" s="10">
        <v>1</v>
      </c>
      <c r="H10" s="10">
        <v>1</v>
      </c>
      <c r="I10" s="13"/>
      <c r="J10" s="13"/>
      <c r="K10" s="14" t="s">
        <v>489</v>
      </c>
      <c r="L10" s="4">
        <v>1003</v>
      </c>
      <c r="M10" s="4">
        <v>0</v>
      </c>
      <c r="N10" s="4">
        <v>1003</v>
      </c>
      <c r="O10" s="4">
        <v>0</v>
      </c>
      <c r="P10" s="4">
        <v>0</v>
      </c>
      <c r="Q10" s="4">
        <v>0</v>
      </c>
      <c r="R10" s="7" t="str">
        <f>"&lt;color=#"&amp;VLOOKUP(E10,[1]品质主表!$B$6:$C$13,2,FALSE)&amp;"&gt;"&amp;C10&amp;"&lt;/color&gt;"</f>
        <v>&lt;color=#f044dc&gt;修炼丹&lt;/color&gt;</v>
      </c>
      <c r="S10" s="18" t="str">
        <f t="shared" si="0"/>
        <v>&lt;color=#f044dc&gt;修炼丹&lt;/color&gt;</v>
      </c>
    </row>
    <row r="11" spans="1:20" s="6" customFormat="1" x14ac:dyDescent="0.3">
      <c r="B11" s="1">
        <v>1004</v>
      </c>
      <c r="C11" s="20" t="s">
        <v>490</v>
      </c>
      <c r="D11" s="7" t="s">
        <v>53</v>
      </c>
      <c r="E11" s="4">
        <v>3</v>
      </c>
      <c r="F11" s="4">
        <v>5</v>
      </c>
      <c r="G11" s="10">
        <v>1</v>
      </c>
      <c r="H11" s="10">
        <v>1</v>
      </c>
      <c r="I11" s="13"/>
      <c r="J11" s="14" t="s">
        <v>54</v>
      </c>
      <c r="K11" s="13"/>
      <c r="L11" s="4">
        <v>1004</v>
      </c>
      <c r="M11" s="4">
        <v>0</v>
      </c>
      <c r="N11" s="4">
        <v>1004</v>
      </c>
      <c r="O11" s="4">
        <v>0</v>
      </c>
      <c r="P11" s="4">
        <v>0</v>
      </c>
      <c r="Q11" s="4">
        <v>1</v>
      </c>
      <c r="R11" s="7" t="str">
        <f>"&lt;color=#"&amp;VLOOKUP(E11,[1]品质主表!$B$6:$C$13,2,FALSE)&amp;"&gt;"&amp;C11&amp;"&lt;/color&gt;"</f>
        <v>&lt;color=#f044dc&gt;经验丹&lt;/color&gt;</v>
      </c>
      <c r="S11" s="18" t="str">
        <f t="shared" si="0"/>
        <v>&lt;color=#f044dc&gt;经验丹&lt;/color&gt;</v>
      </c>
    </row>
    <row r="12" spans="1:20" s="6" customFormat="1" x14ac:dyDescent="0.3">
      <c r="B12" s="1">
        <v>1005</v>
      </c>
      <c r="C12" s="7" t="s">
        <v>55</v>
      </c>
      <c r="D12" s="7" t="s">
        <v>56</v>
      </c>
      <c r="E12" s="4">
        <v>3</v>
      </c>
      <c r="F12" s="4">
        <v>6</v>
      </c>
      <c r="G12" s="10">
        <v>1</v>
      </c>
      <c r="H12" s="10">
        <v>1</v>
      </c>
      <c r="I12" s="13"/>
      <c r="J12" s="13"/>
      <c r="K12" s="13"/>
      <c r="L12" s="4">
        <v>1005</v>
      </c>
      <c r="M12" s="4">
        <v>0</v>
      </c>
      <c r="N12" s="4">
        <v>1005</v>
      </c>
      <c r="O12" s="4">
        <v>0</v>
      </c>
      <c r="P12" s="4">
        <v>0</v>
      </c>
      <c r="Q12" s="4">
        <v>0</v>
      </c>
      <c r="R12" s="7" t="str">
        <f>"&lt;color=#"&amp;VLOOKUP(E12,[1]品质主表!$B$6:$C$13,2,FALSE)&amp;"&gt;"&amp;C12&amp;"&lt;/color&gt;"</f>
        <v>&lt;color=#f044dc&gt;强化石&lt;/color&gt;</v>
      </c>
      <c r="S12" s="18" t="str">
        <f t="shared" si="0"/>
        <v>&lt;color=#f044dc&gt;强化石&lt;/color&gt;</v>
      </c>
    </row>
    <row r="13" spans="1:20" s="6" customFormat="1" x14ac:dyDescent="0.3">
      <c r="B13" s="1">
        <v>1006</v>
      </c>
      <c r="C13" s="7" t="s">
        <v>57</v>
      </c>
      <c r="D13" s="7" t="s">
        <v>58</v>
      </c>
      <c r="E13" s="4">
        <v>3</v>
      </c>
      <c r="F13" s="4">
        <v>6</v>
      </c>
      <c r="G13" s="10">
        <v>1</v>
      </c>
      <c r="H13" s="10">
        <v>1</v>
      </c>
      <c r="I13" s="13" t="s">
        <v>386</v>
      </c>
      <c r="J13" s="13"/>
      <c r="K13" s="13"/>
      <c r="L13" s="4">
        <v>1006</v>
      </c>
      <c r="M13" s="4">
        <v>0</v>
      </c>
      <c r="N13" s="4">
        <v>1006</v>
      </c>
      <c r="O13" s="4">
        <v>0</v>
      </c>
      <c r="P13" s="4">
        <v>0</v>
      </c>
      <c r="Q13" s="4">
        <v>0</v>
      </c>
      <c r="R13" s="7" t="str">
        <f>"&lt;color=#"&amp;VLOOKUP(E13,[1]品质主表!$B$6:$C$13,2,FALSE)&amp;"&gt;"&amp;C13&amp;"&lt;/color&gt;"</f>
        <v>&lt;color=#f044dc&gt;幽冥钢&lt;/color&gt;</v>
      </c>
      <c r="S13" s="18" t="str">
        <f t="shared" si="0"/>
        <v>&lt;color=#f044dc&gt;幽冥钢&lt;/color&gt;</v>
      </c>
    </row>
    <row r="14" spans="1:20" s="6" customFormat="1" x14ac:dyDescent="0.3">
      <c r="B14" s="1">
        <v>1007</v>
      </c>
      <c r="C14" s="7" t="s">
        <v>59</v>
      </c>
      <c r="D14" s="7" t="s">
        <v>60</v>
      </c>
      <c r="E14" s="4">
        <v>3</v>
      </c>
      <c r="F14" s="4">
        <v>6</v>
      </c>
      <c r="G14" s="10">
        <v>1</v>
      </c>
      <c r="H14" s="10">
        <v>1</v>
      </c>
      <c r="I14" s="13" t="s">
        <v>487</v>
      </c>
      <c r="J14" s="13"/>
      <c r="K14" s="13"/>
      <c r="L14" s="4">
        <v>1007</v>
      </c>
      <c r="M14" s="4">
        <v>0</v>
      </c>
      <c r="N14" s="4">
        <v>1007</v>
      </c>
      <c r="O14" s="4">
        <v>0</v>
      </c>
      <c r="P14" s="4">
        <v>0</v>
      </c>
      <c r="Q14" s="4">
        <v>0</v>
      </c>
      <c r="R14" s="7" t="str">
        <f>"&lt;color=#"&amp;VLOOKUP(E14,[1]品质主表!$B$6:$C$13,2,FALSE)&amp;"&gt;"&amp;C14&amp;"&lt;/color&gt;"</f>
        <v>&lt;color=#f044dc&gt;金刚砂&lt;/color&gt;</v>
      </c>
      <c r="S14" s="18" t="str">
        <f t="shared" si="0"/>
        <v>&lt;color=#f044dc&gt;金刚砂&lt;/color&gt;</v>
      </c>
    </row>
    <row r="15" spans="1:20" s="6" customFormat="1" x14ac:dyDescent="0.3">
      <c r="B15" s="1">
        <v>1008</v>
      </c>
      <c r="C15" s="7" t="s">
        <v>61</v>
      </c>
      <c r="D15" s="7" t="s">
        <v>62</v>
      </c>
      <c r="E15" s="4">
        <v>3</v>
      </c>
      <c r="F15" s="4">
        <v>6</v>
      </c>
      <c r="G15" s="10">
        <v>1</v>
      </c>
      <c r="H15" s="10">
        <v>1</v>
      </c>
      <c r="I15" s="13"/>
      <c r="K15" s="13"/>
      <c r="L15" s="4">
        <v>1008</v>
      </c>
      <c r="M15" s="4">
        <v>0</v>
      </c>
      <c r="N15" s="4">
        <v>1008</v>
      </c>
      <c r="O15" s="4">
        <v>0</v>
      </c>
      <c r="P15" s="4">
        <v>0</v>
      </c>
      <c r="Q15" s="4">
        <v>0</v>
      </c>
      <c r="R15" s="7" t="str">
        <f>"&lt;color=#"&amp;VLOOKUP(E15,[1]品质主表!$B$6:$C$13,2,FALSE)&amp;"&gt;"&amp;C15&amp;"&lt;/color&gt;"</f>
        <v>&lt;color=#f044dc&gt;星辰铁&lt;/color&gt;</v>
      </c>
      <c r="S15" s="18" t="str">
        <f t="shared" si="0"/>
        <v>&lt;color=#f044dc&gt;星辰铁&lt;/color&gt;</v>
      </c>
    </row>
    <row r="16" spans="1:20" s="6" customFormat="1" x14ac:dyDescent="0.3">
      <c r="B16" s="1">
        <v>1009</v>
      </c>
      <c r="C16" t="s">
        <v>63</v>
      </c>
      <c r="D16" s="7" t="s">
        <v>64</v>
      </c>
      <c r="E16" s="4">
        <v>3</v>
      </c>
      <c r="F16" s="4">
        <v>6</v>
      </c>
      <c r="G16" s="10">
        <v>1</v>
      </c>
      <c r="H16" s="10">
        <v>1</v>
      </c>
      <c r="I16" s="13" t="s">
        <v>488</v>
      </c>
      <c r="K16" s="13"/>
      <c r="L16" s="4">
        <v>1009</v>
      </c>
      <c r="M16" s="4">
        <v>0</v>
      </c>
      <c r="N16" s="4">
        <v>1009</v>
      </c>
      <c r="O16" s="4">
        <v>0</v>
      </c>
      <c r="P16" s="4">
        <v>0</v>
      </c>
      <c r="Q16" s="4">
        <v>0</v>
      </c>
      <c r="R16" s="7" t="str">
        <f>"&lt;color=#"&amp;VLOOKUP(E16,[1]品质主表!$B$6:$C$13,2,FALSE)&amp;"&gt;"&amp;C16&amp;"&lt;/color&gt;"</f>
        <v>&lt;color=#f044dc&gt;五色石&lt;/color&gt;</v>
      </c>
      <c r="S16" s="18" t="str">
        <f t="shared" si="0"/>
        <v>&lt;color=#f044dc&gt;五色石&lt;/color&gt;</v>
      </c>
    </row>
    <row r="17" spans="2:19" s="6" customFormat="1" x14ac:dyDescent="0.3">
      <c r="B17" s="1">
        <v>1010</v>
      </c>
      <c r="C17" s="20" t="s">
        <v>647</v>
      </c>
      <c r="D17" s="20" t="s">
        <v>649</v>
      </c>
      <c r="E17" s="4">
        <v>3</v>
      </c>
      <c r="F17" s="4">
        <v>14</v>
      </c>
      <c r="G17" s="10">
        <v>1</v>
      </c>
      <c r="H17" s="10">
        <v>1</v>
      </c>
      <c r="I17" s="13"/>
      <c r="J17" s="13"/>
      <c r="K17" s="13"/>
      <c r="L17" s="4">
        <v>1010</v>
      </c>
      <c r="M17" s="4">
        <v>0</v>
      </c>
      <c r="N17" s="4">
        <v>1010</v>
      </c>
      <c r="O17" s="4">
        <v>0</v>
      </c>
      <c r="P17" s="4">
        <v>0</v>
      </c>
      <c r="Q17" s="4">
        <v>0</v>
      </c>
      <c r="R17" s="7" t="str">
        <f>"&lt;color=#"&amp;VLOOKUP(E17,[1]品质主表!$B$6:$C$13,2,FALSE)&amp;"&gt;"&amp;C17&amp;"&lt;/color&gt;"</f>
        <v>&lt;color=#f044dc&gt;重生符&lt;/color&gt;</v>
      </c>
      <c r="S17" s="18" t="str">
        <f t="shared" ref="S17" si="1">R17</f>
        <v>&lt;color=#f044dc&gt;重生符&lt;/color&gt;</v>
      </c>
    </row>
    <row r="18" spans="2:19" s="6" customFormat="1" x14ac:dyDescent="0.3">
      <c r="B18" s="1">
        <v>1011</v>
      </c>
      <c r="C18" s="20" t="s">
        <v>807</v>
      </c>
      <c r="D18" s="20" t="s">
        <v>809</v>
      </c>
      <c r="E18" s="4">
        <v>3</v>
      </c>
      <c r="F18" s="4">
        <v>6</v>
      </c>
      <c r="G18" s="10">
        <v>1</v>
      </c>
      <c r="H18" s="10">
        <v>1</v>
      </c>
      <c r="I18" s="13"/>
      <c r="J18" s="13"/>
      <c r="K18" s="13"/>
      <c r="L18" s="4">
        <v>1011</v>
      </c>
      <c r="M18" s="4">
        <v>0</v>
      </c>
      <c r="N18" s="4">
        <v>1011</v>
      </c>
      <c r="O18" s="4">
        <v>0</v>
      </c>
      <c r="P18" s="4">
        <v>0</v>
      </c>
      <c r="Q18" s="4">
        <v>0</v>
      </c>
      <c r="R18" s="7" t="str">
        <f>"&lt;color=#"&amp;VLOOKUP(E18,[1]品质主表!$B$6:$C$13,2,FALSE)&amp;"&gt;"&amp;C18&amp;"&lt;/color&gt;"</f>
        <v>&lt;color=#f044dc&gt;神通碎片&lt;/color&gt;</v>
      </c>
      <c r="S18" s="18" t="str">
        <f t="shared" si="0"/>
        <v>&lt;color=#f044dc&gt;神通碎片&lt;/color&gt;</v>
      </c>
    </row>
    <row r="19" spans="2:19" s="30" customFormat="1" x14ac:dyDescent="0.3">
      <c r="B19" s="24">
        <v>1012</v>
      </c>
      <c r="C19" s="23" t="s">
        <v>995</v>
      </c>
      <c r="D19" s="23" t="s">
        <v>501</v>
      </c>
      <c r="E19" s="27">
        <v>3</v>
      </c>
      <c r="F19" s="27">
        <v>12</v>
      </c>
      <c r="G19" s="28">
        <v>1</v>
      </c>
      <c r="H19" s="28">
        <v>1</v>
      </c>
      <c r="I19" s="14"/>
      <c r="K19" s="14" t="s">
        <v>502</v>
      </c>
      <c r="L19" s="27">
        <v>1012</v>
      </c>
      <c r="M19" s="27">
        <v>0</v>
      </c>
      <c r="N19" s="27">
        <v>1012</v>
      </c>
      <c r="O19" s="27">
        <v>0</v>
      </c>
      <c r="P19" s="27">
        <v>0</v>
      </c>
      <c r="Q19" s="27">
        <v>1</v>
      </c>
      <c r="R19" s="7" t="str">
        <f>"&lt;color=#"&amp;VLOOKUP(E19,[1]品质主表!$B$6:$C$13,2,FALSE)&amp;"&gt;"&amp;C19&amp;"&lt;/color&gt;"</f>
        <v>&lt;color=#f044dc&gt;乾坤袋&lt;/color&gt;</v>
      </c>
      <c r="S19" s="18" t="str">
        <f t="shared" si="0"/>
        <v>&lt;color=#f044dc&gt;乾坤袋&lt;/color&gt;</v>
      </c>
    </row>
    <row r="20" spans="2:19" s="6" customFormat="1" x14ac:dyDescent="0.3">
      <c r="B20" s="1">
        <v>1013</v>
      </c>
      <c r="C20" s="20" t="s">
        <v>522</v>
      </c>
      <c r="D20" s="20" t="s">
        <v>528</v>
      </c>
      <c r="E20" s="4">
        <v>3</v>
      </c>
      <c r="F20" s="4">
        <v>13</v>
      </c>
      <c r="G20" s="10">
        <v>1</v>
      </c>
      <c r="H20" s="10">
        <v>1</v>
      </c>
      <c r="I20" s="13"/>
      <c r="K20" s="13" t="s">
        <v>949</v>
      </c>
      <c r="L20" s="4">
        <v>1013</v>
      </c>
      <c r="M20" s="4">
        <v>0</v>
      </c>
      <c r="N20" s="4">
        <v>1013</v>
      </c>
      <c r="O20" s="4">
        <v>0</v>
      </c>
      <c r="P20" s="4">
        <v>0</v>
      </c>
      <c r="Q20" s="4">
        <v>0</v>
      </c>
      <c r="R20" s="7" t="str">
        <f>"&lt;color=#"&amp;VLOOKUP(E20,[1]品质主表!$B$6:$C$13,2,FALSE)&amp;"&gt;"&amp;C20&amp;"&lt;/color&gt;"</f>
        <v>&lt;color=#f044dc&gt;礼物1&lt;/color&gt;</v>
      </c>
      <c r="S20" s="18" t="str">
        <f t="shared" si="0"/>
        <v>&lt;color=#f044dc&gt;礼物1&lt;/color&gt;</v>
      </c>
    </row>
    <row r="21" spans="2:19" s="6" customFormat="1" x14ac:dyDescent="0.3">
      <c r="B21" s="1">
        <v>1014</v>
      </c>
      <c r="C21" s="20" t="s">
        <v>523</v>
      </c>
      <c r="D21" s="20" t="s">
        <v>529</v>
      </c>
      <c r="E21" s="4">
        <v>3</v>
      </c>
      <c r="F21" s="4">
        <v>13</v>
      </c>
      <c r="G21" s="10">
        <v>1</v>
      </c>
      <c r="H21" s="10">
        <v>1</v>
      </c>
      <c r="I21" s="13"/>
      <c r="K21" s="13" t="s">
        <v>950</v>
      </c>
      <c r="L21" s="4">
        <v>1014</v>
      </c>
      <c r="M21" s="4">
        <v>0</v>
      </c>
      <c r="N21" s="4">
        <v>1014</v>
      </c>
      <c r="O21" s="4">
        <v>0</v>
      </c>
      <c r="P21" s="4">
        <v>0</v>
      </c>
      <c r="Q21" s="4">
        <v>0</v>
      </c>
      <c r="R21" s="7" t="str">
        <f>"&lt;color=#"&amp;VLOOKUP(E21,[1]品质主表!$B$6:$C$13,2,FALSE)&amp;"&gt;"&amp;C21&amp;"&lt;/color&gt;"</f>
        <v>&lt;color=#f044dc&gt;礼物2&lt;/color&gt;</v>
      </c>
      <c r="S21" s="18" t="str">
        <f t="shared" si="0"/>
        <v>&lt;color=#f044dc&gt;礼物2&lt;/color&gt;</v>
      </c>
    </row>
    <row r="22" spans="2:19" s="6" customFormat="1" x14ac:dyDescent="0.3">
      <c r="B22" s="1">
        <v>1015</v>
      </c>
      <c r="C22" s="20" t="s">
        <v>525</v>
      </c>
      <c r="D22" s="20" t="s">
        <v>531</v>
      </c>
      <c r="E22" s="4">
        <v>3</v>
      </c>
      <c r="F22" s="4">
        <v>13</v>
      </c>
      <c r="G22" s="10">
        <v>1</v>
      </c>
      <c r="H22" s="10">
        <v>1</v>
      </c>
      <c r="I22" s="13"/>
      <c r="K22" s="13" t="s">
        <v>951</v>
      </c>
      <c r="L22" s="4">
        <v>1016</v>
      </c>
      <c r="M22" s="4">
        <v>0</v>
      </c>
      <c r="N22" s="4">
        <v>1015</v>
      </c>
      <c r="O22" s="4">
        <v>0</v>
      </c>
      <c r="P22" s="4">
        <v>0</v>
      </c>
      <c r="Q22" s="4">
        <v>0</v>
      </c>
      <c r="R22" s="7" t="str">
        <f>"&lt;color=#"&amp;VLOOKUP(E22,[1]品质主表!$B$6:$C$13,2,FALSE)&amp;"&gt;"&amp;C22&amp;"&lt;/color&gt;"</f>
        <v>&lt;color=#f044dc&gt;礼物4&lt;/color&gt;</v>
      </c>
      <c r="S22" s="18" t="str">
        <f t="shared" ref="S22:S27" si="2">R22</f>
        <v>&lt;color=#f044dc&gt;礼物4&lt;/color&gt;</v>
      </c>
    </row>
    <row r="23" spans="2:19" s="6" customFormat="1" x14ac:dyDescent="0.3">
      <c r="B23" s="1">
        <v>1016</v>
      </c>
      <c r="C23" s="20" t="s">
        <v>526</v>
      </c>
      <c r="D23" s="20" t="s">
        <v>532</v>
      </c>
      <c r="E23" s="4">
        <v>3</v>
      </c>
      <c r="F23" s="4">
        <v>13</v>
      </c>
      <c r="G23" s="10">
        <v>1</v>
      </c>
      <c r="H23" s="10">
        <v>1</v>
      </c>
      <c r="I23" s="13"/>
      <c r="K23" s="13" t="s">
        <v>952</v>
      </c>
      <c r="L23" s="4">
        <v>1017</v>
      </c>
      <c r="M23" s="4">
        <v>0</v>
      </c>
      <c r="N23" s="4">
        <v>1016</v>
      </c>
      <c r="O23" s="4">
        <v>0</v>
      </c>
      <c r="P23" s="4">
        <v>0</v>
      </c>
      <c r="Q23" s="4">
        <v>0</v>
      </c>
      <c r="R23" s="7" t="str">
        <f>"&lt;color=#"&amp;VLOOKUP(E23,[1]品质主表!$B$6:$C$13,2,FALSE)&amp;"&gt;"&amp;C23&amp;"&lt;/color&gt;"</f>
        <v>&lt;color=#f044dc&gt;礼物5&lt;/color&gt;</v>
      </c>
      <c r="S23" s="18" t="str">
        <f t="shared" si="2"/>
        <v>&lt;color=#f044dc&gt;礼物5&lt;/color&gt;</v>
      </c>
    </row>
    <row r="24" spans="2:19" s="6" customFormat="1" x14ac:dyDescent="0.3">
      <c r="B24" s="1">
        <v>1017</v>
      </c>
      <c r="C24" s="20" t="s">
        <v>527</v>
      </c>
      <c r="D24" s="20" t="s">
        <v>533</v>
      </c>
      <c r="E24" s="4">
        <v>3</v>
      </c>
      <c r="F24" s="4">
        <v>13</v>
      </c>
      <c r="G24" s="10">
        <v>1</v>
      </c>
      <c r="H24" s="10">
        <v>1</v>
      </c>
      <c r="I24" s="13"/>
      <c r="K24" s="13" t="s">
        <v>953</v>
      </c>
      <c r="L24" s="4">
        <v>1018</v>
      </c>
      <c r="M24" s="4">
        <v>0</v>
      </c>
      <c r="N24" s="4">
        <v>1017</v>
      </c>
      <c r="O24" s="4">
        <v>0</v>
      </c>
      <c r="P24" s="4">
        <v>0</v>
      </c>
      <c r="Q24" s="4">
        <v>0</v>
      </c>
      <c r="R24" s="7" t="str">
        <f>"&lt;color=#"&amp;VLOOKUP(E24,[1]品质主表!$B$6:$C$13,2,FALSE)&amp;"&gt;"&amp;C24&amp;"&lt;/color&gt;"</f>
        <v>&lt;color=#f044dc&gt;礼物6&lt;/color&gt;</v>
      </c>
      <c r="S24" s="18" t="str">
        <f t="shared" si="2"/>
        <v>&lt;color=#f044dc&gt;礼物6&lt;/color&gt;</v>
      </c>
    </row>
    <row r="25" spans="2:19" s="6" customFormat="1" x14ac:dyDescent="0.3">
      <c r="B25" s="1">
        <v>1018</v>
      </c>
      <c r="C25" s="20" t="s">
        <v>742</v>
      </c>
      <c r="D25" s="20" t="s">
        <v>743</v>
      </c>
      <c r="E25" s="4">
        <v>3</v>
      </c>
      <c r="F25" s="4">
        <v>13</v>
      </c>
      <c r="G25" s="10">
        <v>1</v>
      </c>
      <c r="H25" s="10">
        <v>1</v>
      </c>
      <c r="I25" s="13"/>
      <c r="K25" s="13" t="s">
        <v>954</v>
      </c>
      <c r="L25" s="4">
        <v>1019</v>
      </c>
      <c r="M25" s="4">
        <v>0</v>
      </c>
      <c r="N25" s="4">
        <v>1018</v>
      </c>
      <c r="O25" s="4">
        <v>0</v>
      </c>
      <c r="P25" s="4">
        <v>0</v>
      </c>
      <c r="Q25" s="4">
        <v>0</v>
      </c>
      <c r="R25" s="7" t="str">
        <f>"&lt;color=#"&amp;VLOOKUP(E25,[1]品质主表!$B$6:$C$13,2,FALSE)&amp;"&gt;"&amp;C25&amp;"&lt;/color&gt;"</f>
        <v>&lt;color=#f044dc&gt;礼物7&lt;/color&gt;</v>
      </c>
      <c r="S25" s="18" t="str">
        <f t="shared" si="2"/>
        <v>&lt;color=#f044dc&gt;礼物7&lt;/color&gt;</v>
      </c>
    </row>
    <row r="26" spans="2:19" s="6" customFormat="1" x14ac:dyDescent="0.3">
      <c r="B26" s="1">
        <v>1019</v>
      </c>
      <c r="C26" s="20" t="s">
        <v>744</v>
      </c>
      <c r="D26" s="20" t="s">
        <v>745</v>
      </c>
      <c r="E26" s="4">
        <v>3</v>
      </c>
      <c r="F26" s="4">
        <v>13</v>
      </c>
      <c r="G26" s="10">
        <v>1</v>
      </c>
      <c r="H26" s="10">
        <v>1</v>
      </c>
      <c r="I26" s="13"/>
      <c r="K26" s="13" t="s">
        <v>955</v>
      </c>
      <c r="L26" s="4">
        <v>1020</v>
      </c>
      <c r="M26" s="4">
        <v>0</v>
      </c>
      <c r="N26" s="4">
        <v>1019</v>
      </c>
      <c r="O26" s="4">
        <v>0</v>
      </c>
      <c r="P26" s="4">
        <v>0</v>
      </c>
      <c r="Q26" s="4">
        <v>0</v>
      </c>
      <c r="R26" s="7" t="str">
        <f>"&lt;color=#"&amp;VLOOKUP(E26,[1]品质主表!$B$6:$C$13,2,FALSE)&amp;"&gt;"&amp;C26&amp;"&lt;/color&gt;"</f>
        <v>&lt;color=#f044dc&gt;礼物8&lt;/color&gt;</v>
      </c>
      <c r="S26" s="18" t="str">
        <f t="shared" si="2"/>
        <v>&lt;color=#f044dc&gt;礼物8&lt;/color&gt;</v>
      </c>
    </row>
    <row r="27" spans="2:19" s="6" customFormat="1" x14ac:dyDescent="0.3">
      <c r="B27" s="1">
        <v>1020</v>
      </c>
      <c r="C27" s="20" t="s">
        <v>524</v>
      </c>
      <c r="D27" s="20" t="s">
        <v>530</v>
      </c>
      <c r="E27" s="4">
        <v>3</v>
      </c>
      <c r="F27" s="4">
        <v>13</v>
      </c>
      <c r="G27" s="10">
        <v>1</v>
      </c>
      <c r="H27" s="10">
        <v>1</v>
      </c>
      <c r="I27" s="13"/>
      <c r="K27" s="13" t="s">
        <v>956</v>
      </c>
      <c r="L27" s="4">
        <v>1015</v>
      </c>
      <c r="M27" s="4">
        <v>0</v>
      </c>
      <c r="N27" s="4">
        <v>1020</v>
      </c>
      <c r="O27" s="4">
        <v>0</v>
      </c>
      <c r="P27" s="4">
        <v>0</v>
      </c>
      <c r="Q27" s="4">
        <v>0</v>
      </c>
      <c r="R27" s="7" t="str">
        <f>"&lt;color=#"&amp;VLOOKUP(E27,[1]品质主表!$B$6:$C$13,2,FALSE)&amp;"&gt;"&amp;C27&amp;"&lt;/color&gt;"</f>
        <v>&lt;color=#f044dc&gt;礼物3&lt;/color&gt;</v>
      </c>
      <c r="S27" s="18" t="str">
        <f t="shared" si="2"/>
        <v>&lt;color=#f044dc&gt;礼物3&lt;/color&gt;</v>
      </c>
    </row>
    <row r="28" spans="2:19" s="31" customFormat="1" x14ac:dyDescent="0.3">
      <c r="B28" s="32">
        <v>1030</v>
      </c>
      <c r="C28" s="34" t="s">
        <v>670</v>
      </c>
      <c r="D28" s="34" t="s">
        <v>770</v>
      </c>
      <c r="E28" s="35">
        <v>3</v>
      </c>
      <c r="F28" s="35">
        <v>15</v>
      </c>
      <c r="G28" s="36">
        <v>4</v>
      </c>
      <c r="H28" s="36">
        <v>1</v>
      </c>
      <c r="I28" s="37"/>
      <c r="J28" s="37"/>
      <c r="K28" s="37"/>
      <c r="L28" s="35">
        <v>1030</v>
      </c>
      <c r="M28" s="35">
        <v>0</v>
      </c>
      <c r="N28" s="35">
        <v>1030</v>
      </c>
      <c r="O28" s="35">
        <v>0</v>
      </c>
      <c r="P28" s="35">
        <v>0</v>
      </c>
      <c r="Q28" s="35">
        <v>0</v>
      </c>
      <c r="R28" s="33" t="str">
        <f>"&lt;color=#"&amp;VLOOKUP(E28,[1]品质主表!$B$6:$C$13,2,FALSE)&amp;"&gt;"&amp;C28&amp;"&lt;/color&gt;"</f>
        <v>&lt;color=#f044dc&gt;灵石&lt;/color&gt;</v>
      </c>
      <c r="S28" s="38" t="str">
        <f t="shared" ref="S28:S29" si="3">R28</f>
        <v>&lt;color=#f044dc&gt;灵石&lt;/color&gt;</v>
      </c>
    </row>
    <row r="29" spans="2:19" s="31" customFormat="1" x14ac:dyDescent="0.3">
      <c r="B29" s="32">
        <v>1031</v>
      </c>
      <c r="C29" s="34" t="s">
        <v>757</v>
      </c>
      <c r="D29" s="34" t="s">
        <v>740</v>
      </c>
      <c r="E29" s="35">
        <v>3</v>
      </c>
      <c r="F29" s="35">
        <v>15</v>
      </c>
      <c r="G29" s="36">
        <v>4</v>
      </c>
      <c r="H29" s="36">
        <v>1</v>
      </c>
      <c r="I29" s="37"/>
      <c r="J29" s="37"/>
      <c r="K29" s="37"/>
      <c r="L29" s="35">
        <v>1031</v>
      </c>
      <c r="M29" s="35">
        <v>0</v>
      </c>
      <c r="N29" s="35">
        <v>1031</v>
      </c>
      <c r="O29" s="35">
        <v>0</v>
      </c>
      <c r="P29" s="35">
        <v>0</v>
      </c>
      <c r="Q29" s="35">
        <v>0</v>
      </c>
      <c r="R29" s="33" t="str">
        <f>"&lt;color=#"&amp;VLOOKUP(E29,[1]品质主表!$B$6:$C$13,2,FALSE)&amp;"&gt;"&amp;C29&amp;"&lt;/color&gt;"</f>
        <v>&lt;color=#f044dc&gt;幼蛇碎片&lt;/color&gt;</v>
      </c>
      <c r="S29" s="38" t="str">
        <f t="shared" si="3"/>
        <v>&lt;color=#f044dc&gt;幼蛇碎片&lt;/color&gt;</v>
      </c>
    </row>
    <row r="30" spans="2:19" s="31" customFormat="1" x14ac:dyDescent="0.3">
      <c r="B30" s="32">
        <v>1040</v>
      </c>
      <c r="C30" s="34" t="s">
        <v>758</v>
      </c>
      <c r="D30" s="34" t="s">
        <v>660</v>
      </c>
      <c r="E30" s="35">
        <v>3</v>
      </c>
      <c r="F30" s="35">
        <v>15</v>
      </c>
      <c r="G30" s="36">
        <v>4</v>
      </c>
      <c r="H30" s="36">
        <v>1</v>
      </c>
      <c r="I30" s="37" t="s">
        <v>664</v>
      </c>
      <c r="J30" s="37"/>
      <c r="K30" s="37"/>
      <c r="L30" s="35">
        <v>1040</v>
      </c>
      <c r="M30" s="35">
        <v>0</v>
      </c>
      <c r="N30" s="35">
        <v>1040</v>
      </c>
      <c r="O30" s="35">
        <v>0</v>
      </c>
      <c r="P30" s="35">
        <v>0</v>
      </c>
      <c r="Q30" s="35">
        <v>0</v>
      </c>
      <c r="R30" s="33" t="str">
        <f>"&lt;color=#"&amp;VLOOKUP(E30,[1]品质主表!$B$6:$C$13,2,FALSE)&amp;"&gt;"&amp;C30&amp;"&lt;/color&gt;"</f>
        <v>&lt;color=#f044dc&gt;攻元丹&lt;/color&gt;</v>
      </c>
      <c r="S30" s="38" t="str">
        <f t="shared" ref="S30:S35" si="4">R30</f>
        <v>&lt;color=#f044dc&gt;攻元丹&lt;/color&gt;</v>
      </c>
    </row>
    <row r="31" spans="2:19" s="31" customFormat="1" x14ac:dyDescent="0.3">
      <c r="B31" s="32">
        <v>1041</v>
      </c>
      <c r="C31" s="33" t="s">
        <v>656</v>
      </c>
      <c r="D31" s="34" t="s">
        <v>662</v>
      </c>
      <c r="E31" s="35">
        <v>3</v>
      </c>
      <c r="F31" s="35">
        <v>15</v>
      </c>
      <c r="G31" s="36">
        <v>4</v>
      </c>
      <c r="H31" s="36">
        <v>1</v>
      </c>
      <c r="I31" s="37" t="s">
        <v>665</v>
      </c>
      <c r="J31" s="37"/>
      <c r="K31" s="37"/>
      <c r="L31" s="35">
        <v>1041</v>
      </c>
      <c r="M31" s="35">
        <v>0</v>
      </c>
      <c r="N31" s="35">
        <v>1041</v>
      </c>
      <c r="O31" s="35">
        <v>0</v>
      </c>
      <c r="P31" s="35">
        <v>0</v>
      </c>
      <c r="Q31" s="35">
        <v>0</v>
      </c>
      <c r="R31" s="33" t="str">
        <f>"&lt;color=#"&amp;VLOOKUP(E31,[1]品质主表!$B$6:$C$13,2,FALSE)&amp;"&gt;"&amp;C31&amp;"&lt;/color&gt;"</f>
        <v>&lt;color=#f044dc&gt;命元丹&lt;/color&gt;</v>
      </c>
      <c r="S31" s="38" t="str">
        <f t="shared" si="4"/>
        <v>&lt;color=#f044dc&gt;命元丹&lt;/color&gt;</v>
      </c>
    </row>
    <row r="32" spans="2:19" s="31" customFormat="1" x14ac:dyDescent="0.3">
      <c r="B32" s="32">
        <v>1042</v>
      </c>
      <c r="C32" s="33" t="s">
        <v>657</v>
      </c>
      <c r="D32" s="34" t="s">
        <v>667</v>
      </c>
      <c r="E32" s="35">
        <v>3</v>
      </c>
      <c r="F32" s="35">
        <v>15</v>
      </c>
      <c r="G32" s="36">
        <v>4</v>
      </c>
      <c r="H32" s="36">
        <v>1</v>
      </c>
      <c r="I32" s="37"/>
      <c r="J32" s="37"/>
      <c r="K32" s="37"/>
      <c r="L32" s="35">
        <v>1042</v>
      </c>
      <c r="M32" s="35">
        <v>0</v>
      </c>
      <c r="N32" s="35">
        <v>1042</v>
      </c>
      <c r="O32" s="35">
        <v>0</v>
      </c>
      <c r="P32" s="35">
        <v>0</v>
      </c>
      <c r="Q32" s="35">
        <v>0</v>
      </c>
      <c r="R32" s="33" t="str">
        <f>"&lt;color=#"&amp;VLOOKUP(E32,[1]品质主表!$B$6:$C$13,2,FALSE)&amp;"&gt;"&amp;C32&amp;"&lt;/color&gt;"</f>
        <v>&lt;color=#f044dc&gt;淬炼石&lt;/color&gt;</v>
      </c>
      <c r="S32" s="38" t="str">
        <f t="shared" si="4"/>
        <v>&lt;color=#f044dc&gt;淬炼石&lt;/color&gt;</v>
      </c>
    </row>
    <row r="33" spans="2:19" s="31" customFormat="1" x14ac:dyDescent="0.3">
      <c r="B33" s="32">
        <v>1043</v>
      </c>
      <c r="C33" s="33" t="s">
        <v>658</v>
      </c>
      <c r="D33" s="34" t="s">
        <v>669</v>
      </c>
      <c r="E33" s="35">
        <v>3</v>
      </c>
      <c r="F33" s="35">
        <v>15</v>
      </c>
      <c r="G33" s="36">
        <v>4</v>
      </c>
      <c r="H33" s="36">
        <v>1</v>
      </c>
      <c r="I33" s="37"/>
      <c r="J33" s="37"/>
      <c r="K33" s="37"/>
      <c r="L33" s="35">
        <v>1043</v>
      </c>
      <c r="M33" s="35">
        <v>0</v>
      </c>
      <c r="N33" s="35">
        <v>1043</v>
      </c>
      <c r="O33" s="35">
        <v>0</v>
      </c>
      <c r="P33" s="35">
        <v>0</v>
      </c>
      <c r="Q33" s="35">
        <v>0</v>
      </c>
      <c r="R33" s="33" t="str">
        <f>"&lt;color=#"&amp;VLOOKUP(E33,[1]品质主表!$B$6:$C$13,2,FALSE)&amp;"&gt;"&amp;C33&amp;"&lt;/color&gt;"</f>
        <v>&lt;color=#f044dc&gt;砺石珠&lt;/color&gt;</v>
      </c>
      <c r="S33" s="38" t="str">
        <f t="shared" si="4"/>
        <v>&lt;color=#f044dc&gt;砺石珠&lt;/color&gt;</v>
      </c>
    </row>
    <row r="34" spans="2:19" s="30" customFormat="1" x14ac:dyDescent="0.3">
      <c r="B34" s="24">
        <v>1050</v>
      </c>
      <c r="C34" s="23" t="s">
        <v>777</v>
      </c>
      <c r="D34" s="23" t="s">
        <v>777</v>
      </c>
      <c r="E34" s="27">
        <v>7</v>
      </c>
      <c r="F34" s="27">
        <v>18</v>
      </c>
      <c r="G34" s="28">
        <v>1</v>
      </c>
      <c r="H34" s="28">
        <v>1</v>
      </c>
      <c r="I34" s="14"/>
      <c r="K34" s="14"/>
      <c r="L34" s="27">
        <v>1050</v>
      </c>
      <c r="M34" s="27">
        <v>0</v>
      </c>
      <c r="N34" s="27">
        <v>1050</v>
      </c>
      <c r="O34" s="27">
        <v>0</v>
      </c>
      <c r="P34" s="27">
        <v>0</v>
      </c>
      <c r="Q34" s="27">
        <v>0</v>
      </c>
      <c r="R34" s="11" t="str">
        <f>"&lt;color=#"&amp;VLOOKUP(E34,[1]品质主表!$B$6:$C$13,2,FALSE)&amp;"&gt;"&amp;C34&amp;"&lt;/color&gt;"</f>
        <v>&lt;color=#ff779d&gt;凤凰皮肤碎片&lt;/color&gt;</v>
      </c>
      <c r="S34" s="40" t="str">
        <f t="shared" si="4"/>
        <v>&lt;color=#ff779d&gt;凤凰皮肤碎片&lt;/color&gt;</v>
      </c>
    </row>
    <row r="35" spans="2:19" s="30" customFormat="1" x14ac:dyDescent="0.3">
      <c r="B35" s="24">
        <v>1051</v>
      </c>
      <c r="C35" s="25" t="s">
        <v>779</v>
      </c>
      <c r="D35" s="25" t="s">
        <v>779</v>
      </c>
      <c r="E35" s="27">
        <v>7</v>
      </c>
      <c r="F35" s="27">
        <v>18</v>
      </c>
      <c r="G35" s="28">
        <v>1</v>
      </c>
      <c r="H35" s="28">
        <v>1</v>
      </c>
      <c r="I35" s="14"/>
      <c r="K35" s="14"/>
      <c r="L35" s="27">
        <v>1051</v>
      </c>
      <c r="M35" s="27">
        <v>0</v>
      </c>
      <c r="N35" s="27">
        <v>1051</v>
      </c>
      <c r="O35" s="27">
        <v>0</v>
      </c>
      <c r="P35" s="27">
        <v>0</v>
      </c>
      <c r="Q35" s="27">
        <v>0</v>
      </c>
      <c r="R35" s="11" t="str">
        <f>"&lt;color=#"&amp;VLOOKUP(E35,[1]品质主表!$B$6:$C$13,2,FALSE)&amp;"&gt;"&amp;C35&amp;"&lt;/color&gt;"</f>
        <v>&lt;color=#ff779d&gt;凤凰坐骑碎片&lt;/color&gt;</v>
      </c>
      <c r="S35" s="40" t="str">
        <f t="shared" si="4"/>
        <v>&lt;color=#ff779d&gt;凤凰坐骑碎片&lt;/color&gt;</v>
      </c>
    </row>
    <row r="36" spans="2:19" s="30" customFormat="1" x14ac:dyDescent="0.3">
      <c r="B36" s="24">
        <v>1061</v>
      </c>
      <c r="C36" s="25" t="s">
        <v>904</v>
      </c>
      <c r="D36" s="25" t="s">
        <v>904</v>
      </c>
      <c r="E36" s="27">
        <v>3</v>
      </c>
      <c r="F36" s="27">
        <v>18</v>
      </c>
      <c r="G36" s="28">
        <v>1</v>
      </c>
      <c r="H36" s="28">
        <v>1</v>
      </c>
      <c r="I36" s="14"/>
      <c r="K36" s="14"/>
      <c r="L36" s="24">
        <v>1061</v>
      </c>
      <c r="M36" s="27">
        <v>0</v>
      </c>
      <c r="N36" s="24">
        <v>1061</v>
      </c>
      <c r="O36" s="27">
        <v>0</v>
      </c>
      <c r="P36" s="27">
        <v>0</v>
      </c>
      <c r="Q36" s="27">
        <v>0</v>
      </c>
      <c r="R36" s="11" t="str">
        <f>"&lt;color=#"&amp;VLOOKUP(E36,[1]品质主表!$B$6:$C$13,2,FALSE)&amp;"&gt;"&amp;C36&amp;"&lt;/color&gt;"</f>
        <v>&lt;color=#f044dc&gt;灵宝碎片&lt;/color&gt;</v>
      </c>
      <c r="S36" s="40" t="str">
        <f t="shared" ref="S36" si="5">R36</f>
        <v>&lt;color=#f044dc&gt;灵宝碎片&lt;/color&gt;</v>
      </c>
    </row>
    <row r="37" spans="2:19" s="30" customFormat="1" x14ac:dyDescent="0.3">
      <c r="B37" s="24">
        <v>1062</v>
      </c>
      <c r="C37" s="25" t="s">
        <v>906</v>
      </c>
      <c r="D37" s="25" t="s">
        <v>906</v>
      </c>
      <c r="E37" s="27">
        <v>3</v>
      </c>
      <c r="F37" s="27">
        <v>19</v>
      </c>
      <c r="G37" s="28">
        <v>2</v>
      </c>
      <c r="H37" s="28">
        <v>1</v>
      </c>
      <c r="I37" s="14" t="s">
        <v>917</v>
      </c>
      <c r="K37" s="14"/>
      <c r="L37" s="24">
        <v>1062</v>
      </c>
      <c r="M37" s="27">
        <v>0</v>
      </c>
      <c r="N37" s="24">
        <v>1062</v>
      </c>
      <c r="O37" s="27">
        <v>0</v>
      </c>
      <c r="P37" s="27">
        <v>0</v>
      </c>
      <c r="Q37" s="27">
        <v>0</v>
      </c>
      <c r="R37" s="11" t="str">
        <f>"&lt;color=#"&amp;VLOOKUP(E37,[1]品质主表!$B$6:$C$13,2,FALSE)&amp;"&gt;"&amp;C37&amp;"&lt;/color&gt;"</f>
        <v>&lt;color=#f044dc&gt;攻击灵宝&lt;/color&gt;</v>
      </c>
      <c r="S37" s="40" t="str">
        <f t="shared" ref="S37:S47" si="6">R37</f>
        <v>&lt;color=#f044dc&gt;攻击灵宝&lt;/color&gt;</v>
      </c>
    </row>
    <row r="38" spans="2:19" s="30" customFormat="1" x14ac:dyDescent="0.3">
      <c r="B38" s="24">
        <v>1063</v>
      </c>
      <c r="C38" s="25" t="s">
        <v>908</v>
      </c>
      <c r="D38" s="25" t="s">
        <v>908</v>
      </c>
      <c r="E38" s="27">
        <v>3</v>
      </c>
      <c r="F38" s="27">
        <v>19</v>
      </c>
      <c r="G38" s="28">
        <v>3</v>
      </c>
      <c r="H38" s="28">
        <v>1</v>
      </c>
      <c r="I38" s="14" t="s">
        <v>918</v>
      </c>
      <c r="K38" s="14"/>
      <c r="L38" s="24">
        <v>1063</v>
      </c>
      <c r="M38" s="27">
        <v>0</v>
      </c>
      <c r="N38" s="24">
        <v>1063</v>
      </c>
      <c r="O38" s="27">
        <v>0</v>
      </c>
      <c r="P38" s="27">
        <v>0</v>
      </c>
      <c r="Q38" s="27">
        <v>0</v>
      </c>
      <c r="R38" s="11" t="str">
        <f>"&lt;color=#"&amp;VLOOKUP(E38,[1]品质主表!$B$6:$C$13,2,FALSE)&amp;"&gt;"&amp;C38&amp;"&lt;/color&gt;"</f>
        <v>&lt;color=#f044dc&gt;生命灵宝&lt;/color&gt;</v>
      </c>
      <c r="S38" s="40" t="str">
        <f t="shared" si="6"/>
        <v>&lt;color=#f044dc&gt;生命灵宝&lt;/color&gt;</v>
      </c>
    </row>
    <row r="39" spans="2:19" s="30" customFormat="1" x14ac:dyDescent="0.3">
      <c r="B39" s="24">
        <v>1064</v>
      </c>
      <c r="C39" s="23" t="s">
        <v>995</v>
      </c>
      <c r="D39" s="23" t="s">
        <v>501</v>
      </c>
      <c r="E39" s="27">
        <v>3</v>
      </c>
      <c r="F39" s="27">
        <v>2</v>
      </c>
      <c r="G39" s="28">
        <v>1</v>
      </c>
      <c r="H39" s="28">
        <v>1</v>
      </c>
      <c r="I39" s="14"/>
      <c r="J39" s="14" t="s">
        <v>998</v>
      </c>
      <c r="K39" s="14"/>
      <c r="L39" s="27">
        <v>1064</v>
      </c>
      <c r="M39" s="27">
        <v>0</v>
      </c>
      <c r="N39" s="27">
        <v>1064</v>
      </c>
      <c r="O39" s="27">
        <v>0</v>
      </c>
      <c r="P39" s="27">
        <v>0</v>
      </c>
      <c r="Q39" s="27">
        <v>0</v>
      </c>
      <c r="R39" s="7" t="str">
        <f>"&lt;color=#"&amp;VLOOKUP(E39,[1]品质主表!$B$6:$C$13,2,FALSE)&amp;"&gt;"&amp;C39&amp;"&lt;/color&gt;"</f>
        <v>&lt;color=#f044dc&gt;乾坤袋&lt;/color&gt;</v>
      </c>
      <c r="S39" s="18" t="str">
        <f t="shared" si="6"/>
        <v>&lt;color=#f044dc&gt;乾坤袋&lt;/color&gt;</v>
      </c>
    </row>
    <row r="40" spans="2:19" s="6" customFormat="1" x14ac:dyDescent="0.3">
      <c r="B40" s="1">
        <v>2013</v>
      </c>
      <c r="C40" s="20" t="s">
        <v>522</v>
      </c>
      <c r="D40" s="20" t="s">
        <v>528</v>
      </c>
      <c r="E40" s="4">
        <v>3</v>
      </c>
      <c r="F40" s="4">
        <v>13</v>
      </c>
      <c r="G40" s="10">
        <v>1</v>
      </c>
      <c r="H40" s="10">
        <v>1</v>
      </c>
      <c r="I40" s="13"/>
      <c r="K40" s="13" t="s">
        <v>941</v>
      </c>
      <c r="L40" s="4">
        <v>1013</v>
      </c>
      <c r="M40" s="4">
        <v>0</v>
      </c>
      <c r="N40" s="4">
        <v>2013</v>
      </c>
      <c r="O40" s="4">
        <v>0</v>
      </c>
      <c r="P40" s="4">
        <v>0</v>
      </c>
      <c r="Q40" s="4">
        <v>0</v>
      </c>
      <c r="R40" s="7" t="str">
        <f>"&lt;color=#"&amp;VLOOKUP(E40,[1]品质主表!$B$6:$C$13,2,FALSE)&amp;"&gt;"&amp;C40&amp;"&lt;/color&gt;"</f>
        <v>&lt;color=#f044dc&gt;礼物1&lt;/color&gt;</v>
      </c>
      <c r="S40" s="18" t="str">
        <f t="shared" si="6"/>
        <v>&lt;color=#f044dc&gt;礼物1&lt;/color&gt;</v>
      </c>
    </row>
    <row r="41" spans="2:19" s="6" customFormat="1" x14ac:dyDescent="0.3">
      <c r="B41" s="1">
        <v>2014</v>
      </c>
      <c r="C41" s="20" t="s">
        <v>523</v>
      </c>
      <c r="D41" s="20" t="s">
        <v>529</v>
      </c>
      <c r="E41" s="4">
        <v>3</v>
      </c>
      <c r="F41" s="4">
        <v>13</v>
      </c>
      <c r="G41" s="10">
        <v>1</v>
      </c>
      <c r="H41" s="10">
        <v>1</v>
      </c>
      <c r="I41" s="13"/>
      <c r="K41" s="13" t="s">
        <v>942</v>
      </c>
      <c r="L41" s="4">
        <v>1014</v>
      </c>
      <c r="M41" s="4">
        <v>0</v>
      </c>
      <c r="N41" s="4">
        <v>2014</v>
      </c>
      <c r="O41" s="4">
        <v>0</v>
      </c>
      <c r="P41" s="4">
        <v>0</v>
      </c>
      <c r="Q41" s="4">
        <v>0</v>
      </c>
      <c r="R41" s="7" t="str">
        <f>"&lt;color=#"&amp;VLOOKUP(E41,[1]品质主表!$B$6:$C$13,2,FALSE)&amp;"&gt;"&amp;C41&amp;"&lt;/color&gt;"</f>
        <v>&lt;color=#f044dc&gt;礼物2&lt;/color&gt;</v>
      </c>
      <c r="S41" s="18" t="str">
        <f t="shared" si="6"/>
        <v>&lt;color=#f044dc&gt;礼物2&lt;/color&gt;</v>
      </c>
    </row>
    <row r="42" spans="2:19" s="6" customFormat="1" x14ac:dyDescent="0.3">
      <c r="B42" s="1">
        <v>2015</v>
      </c>
      <c r="C42" s="20" t="s">
        <v>525</v>
      </c>
      <c r="D42" s="20" t="s">
        <v>531</v>
      </c>
      <c r="E42" s="4">
        <v>3</v>
      </c>
      <c r="F42" s="4">
        <v>13</v>
      </c>
      <c r="G42" s="10">
        <v>1</v>
      </c>
      <c r="H42" s="10">
        <v>1</v>
      </c>
      <c r="I42" s="13"/>
      <c r="K42" s="13" t="s">
        <v>943</v>
      </c>
      <c r="L42" s="4">
        <v>1016</v>
      </c>
      <c r="M42" s="4">
        <v>0</v>
      </c>
      <c r="N42" s="4">
        <v>2015</v>
      </c>
      <c r="O42" s="4">
        <v>0</v>
      </c>
      <c r="P42" s="4">
        <v>0</v>
      </c>
      <c r="Q42" s="4">
        <v>0</v>
      </c>
      <c r="R42" s="7" t="str">
        <f>"&lt;color=#"&amp;VLOOKUP(E42,[1]品质主表!$B$6:$C$13,2,FALSE)&amp;"&gt;"&amp;C42&amp;"&lt;/color&gt;"</f>
        <v>&lt;color=#f044dc&gt;礼物4&lt;/color&gt;</v>
      </c>
      <c r="S42" s="18" t="str">
        <f t="shared" si="6"/>
        <v>&lt;color=#f044dc&gt;礼物4&lt;/color&gt;</v>
      </c>
    </row>
    <row r="43" spans="2:19" s="6" customFormat="1" x14ac:dyDescent="0.3">
      <c r="B43" s="1">
        <v>2016</v>
      </c>
      <c r="C43" s="20" t="s">
        <v>526</v>
      </c>
      <c r="D43" s="20" t="s">
        <v>532</v>
      </c>
      <c r="E43" s="4">
        <v>3</v>
      </c>
      <c r="F43" s="4">
        <v>13</v>
      </c>
      <c r="G43" s="10">
        <v>1</v>
      </c>
      <c r="H43" s="10">
        <v>1</v>
      </c>
      <c r="I43" s="13"/>
      <c r="K43" s="13" t="s">
        <v>944</v>
      </c>
      <c r="L43" s="4">
        <v>1017</v>
      </c>
      <c r="M43" s="4">
        <v>0</v>
      </c>
      <c r="N43" s="4">
        <v>2016</v>
      </c>
      <c r="O43" s="4">
        <v>0</v>
      </c>
      <c r="P43" s="4">
        <v>0</v>
      </c>
      <c r="Q43" s="4">
        <v>0</v>
      </c>
      <c r="R43" s="7" t="str">
        <f>"&lt;color=#"&amp;VLOOKUP(E43,[1]品质主表!$B$6:$C$13,2,FALSE)&amp;"&gt;"&amp;C43&amp;"&lt;/color&gt;"</f>
        <v>&lt;color=#f044dc&gt;礼物5&lt;/color&gt;</v>
      </c>
      <c r="S43" s="18" t="str">
        <f t="shared" si="6"/>
        <v>&lt;color=#f044dc&gt;礼物5&lt;/color&gt;</v>
      </c>
    </row>
    <row r="44" spans="2:19" s="6" customFormat="1" x14ac:dyDescent="0.3">
      <c r="B44" s="1">
        <v>2017</v>
      </c>
      <c r="C44" s="20" t="s">
        <v>527</v>
      </c>
      <c r="D44" s="20" t="s">
        <v>533</v>
      </c>
      <c r="E44" s="4">
        <v>3</v>
      </c>
      <c r="F44" s="4">
        <v>13</v>
      </c>
      <c r="G44" s="10">
        <v>1</v>
      </c>
      <c r="H44" s="10">
        <v>1</v>
      </c>
      <c r="I44" s="13"/>
      <c r="K44" s="13" t="s">
        <v>945</v>
      </c>
      <c r="L44" s="4">
        <v>1018</v>
      </c>
      <c r="M44" s="4">
        <v>0</v>
      </c>
      <c r="N44" s="4">
        <v>2017</v>
      </c>
      <c r="O44" s="4">
        <v>0</v>
      </c>
      <c r="P44" s="4">
        <v>0</v>
      </c>
      <c r="Q44" s="4">
        <v>0</v>
      </c>
      <c r="R44" s="7" t="str">
        <f>"&lt;color=#"&amp;VLOOKUP(E44,[1]品质主表!$B$6:$C$13,2,FALSE)&amp;"&gt;"&amp;C44&amp;"&lt;/color&gt;"</f>
        <v>&lt;color=#f044dc&gt;礼物6&lt;/color&gt;</v>
      </c>
      <c r="S44" s="18" t="str">
        <f t="shared" si="6"/>
        <v>&lt;color=#f044dc&gt;礼物6&lt;/color&gt;</v>
      </c>
    </row>
    <row r="45" spans="2:19" s="6" customFormat="1" x14ac:dyDescent="0.3">
      <c r="B45" s="1">
        <v>2018</v>
      </c>
      <c r="C45" s="20" t="s">
        <v>742</v>
      </c>
      <c r="D45" s="20" t="s">
        <v>743</v>
      </c>
      <c r="E45" s="4">
        <v>3</v>
      </c>
      <c r="F45" s="4">
        <v>13</v>
      </c>
      <c r="G45" s="10">
        <v>1</v>
      </c>
      <c r="H45" s="10">
        <v>1</v>
      </c>
      <c r="I45" s="13"/>
      <c r="K45" s="13" t="s">
        <v>946</v>
      </c>
      <c r="L45" s="4">
        <v>1019</v>
      </c>
      <c r="M45" s="4">
        <v>0</v>
      </c>
      <c r="N45" s="4">
        <v>2018</v>
      </c>
      <c r="O45" s="4">
        <v>0</v>
      </c>
      <c r="P45" s="4">
        <v>0</v>
      </c>
      <c r="Q45" s="4">
        <v>0</v>
      </c>
      <c r="R45" s="7" t="str">
        <f>"&lt;color=#"&amp;VLOOKUP(E45,[1]品质主表!$B$6:$C$13,2,FALSE)&amp;"&gt;"&amp;C45&amp;"&lt;/color&gt;"</f>
        <v>&lt;color=#f044dc&gt;礼物7&lt;/color&gt;</v>
      </c>
      <c r="S45" s="18" t="str">
        <f t="shared" si="6"/>
        <v>&lt;color=#f044dc&gt;礼物7&lt;/color&gt;</v>
      </c>
    </row>
    <row r="46" spans="2:19" s="6" customFormat="1" x14ac:dyDescent="0.3">
      <c r="B46" s="1">
        <v>2019</v>
      </c>
      <c r="C46" s="20" t="s">
        <v>744</v>
      </c>
      <c r="D46" s="20" t="s">
        <v>745</v>
      </c>
      <c r="E46" s="4">
        <v>3</v>
      </c>
      <c r="F46" s="4">
        <v>13</v>
      </c>
      <c r="G46" s="10">
        <v>1</v>
      </c>
      <c r="H46" s="10">
        <v>1</v>
      </c>
      <c r="I46" s="13"/>
      <c r="K46" s="13" t="s">
        <v>947</v>
      </c>
      <c r="L46" s="4">
        <v>1020</v>
      </c>
      <c r="M46" s="4">
        <v>0</v>
      </c>
      <c r="N46" s="4">
        <v>2019</v>
      </c>
      <c r="O46" s="4">
        <v>0</v>
      </c>
      <c r="P46" s="4">
        <v>0</v>
      </c>
      <c r="Q46" s="4">
        <v>0</v>
      </c>
      <c r="R46" s="7" t="str">
        <f>"&lt;color=#"&amp;VLOOKUP(E46,[1]品质主表!$B$6:$C$13,2,FALSE)&amp;"&gt;"&amp;C46&amp;"&lt;/color&gt;"</f>
        <v>&lt;color=#f044dc&gt;礼物8&lt;/color&gt;</v>
      </c>
      <c r="S46" s="18" t="str">
        <f t="shared" si="6"/>
        <v>&lt;color=#f044dc&gt;礼物8&lt;/color&gt;</v>
      </c>
    </row>
    <row r="47" spans="2:19" s="6" customFormat="1" x14ac:dyDescent="0.3">
      <c r="B47" s="1">
        <v>2020</v>
      </c>
      <c r="C47" s="20" t="s">
        <v>524</v>
      </c>
      <c r="D47" s="20" t="s">
        <v>530</v>
      </c>
      <c r="E47" s="4">
        <v>3</v>
      </c>
      <c r="F47" s="4">
        <v>13</v>
      </c>
      <c r="G47" s="10">
        <v>1</v>
      </c>
      <c r="H47" s="10">
        <v>1</v>
      </c>
      <c r="I47" s="13"/>
      <c r="K47" s="13" t="s">
        <v>948</v>
      </c>
      <c r="L47" s="4">
        <v>1015</v>
      </c>
      <c r="M47" s="4">
        <v>0</v>
      </c>
      <c r="N47" s="4">
        <v>2020</v>
      </c>
      <c r="O47" s="4">
        <v>0</v>
      </c>
      <c r="P47" s="4">
        <v>0</v>
      </c>
      <c r="Q47" s="4">
        <v>0</v>
      </c>
      <c r="R47" s="7" t="str">
        <f>"&lt;color=#"&amp;VLOOKUP(E47,[1]品质主表!$B$6:$C$13,2,FALSE)&amp;"&gt;"&amp;C47&amp;"&lt;/color&gt;"</f>
        <v>&lt;color=#f044dc&gt;礼物3&lt;/color&gt;</v>
      </c>
      <c r="S47" s="18" t="str">
        <f t="shared" si="6"/>
        <v>&lt;color=#f044dc&gt;礼物3&lt;/color&gt;</v>
      </c>
    </row>
    <row r="48" spans="2:19" s="6" customFormat="1" x14ac:dyDescent="0.3">
      <c r="B48" s="1">
        <v>3013</v>
      </c>
      <c r="C48" s="20" t="s">
        <v>522</v>
      </c>
      <c r="D48" s="20" t="s">
        <v>528</v>
      </c>
      <c r="E48" s="4">
        <v>3</v>
      </c>
      <c r="F48" s="4">
        <v>13</v>
      </c>
      <c r="G48" s="10">
        <v>1</v>
      </c>
      <c r="H48" s="10">
        <v>1</v>
      </c>
      <c r="I48" s="13"/>
      <c r="K48" s="13" t="s">
        <v>979</v>
      </c>
      <c r="L48" s="4">
        <v>1013</v>
      </c>
      <c r="M48" s="4">
        <v>0</v>
      </c>
      <c r="N48" s="4">
        <v>3013</v>
      </c>
      <c r="O48" s="4">
        <v>0</v>
      </c>
      <c r="P48" s="4">
        <v>0</v>
      </c>
      <c r="Q48" s="4">
        <v>0</v>
      </c>
      <c r="R48" s="7" t="str">
        <f>"&lt;color=#"&amp;VLOOKUP(E48,[1]品质主表!$B$6:$C$13,2,FALSE)&amp;"&gt;"&amp;C48&amp;"&lt;/color&gt;"</f>
        <v>&lt;color=#f044dc&gt;礼物1&lt;/color&gt;</v>
      </c>
      <c r="S48" s="18" t="str">
        <f t="shared" ref="S48:S55" si="7">R48</f>
        <v>&lt;color=#f044dc&gt;礼物1&lt;/color&gt;</v>
      </c>
    </row>
    <row r="49" spans="2:19" s="6" customFormat="1" x14ac:dyDescent="0.3">
      <c r="B49" s="1">
        <v>3014</v>
      </c>
      <c r="C49" s="20" t="s">
        <v>523</v>
      </c>
      <c r="D49" s="20" t="s">
        <v>529</v>
      </c>
      <c r="E49" s="4">
        <v>3</v>
      </c>
      <c r="F49" s="4">
        <v>13</v>
      </c>
      <c r="G49" s="10">
        <v>1</v>
      </c>
      <c r="H49" s="10">
        <v>1</v>
      </c>
      <c r="I49" s="13"/>
      <c r="K49" s="13" t="s">
        <v>980</v>
      </c>
      <c r="L49" s="4">
        <v>1014</v>
      </c>
      <c r="M49" s="4">
        <v>0</v>
      </c>
      <c r="N49" s="4">
        <v>3014</v>
      </c>
      <c r="O49" s="4">
        <v>0</v>
      </c>
      <c r="P49" s="4">
        <v>0</v>
      </c>
      <c r="Q49" s="4">
        <v>0</v>
      </c>
      <c r="R49" s="7" t="str">
        <f>"&lt;color=#"&amp;VLOOKUP(E49,[1]品质主表!$B$6:$C$13,2,FALSE)&amp;"&gt;"&amp;C49&amp;"&lt;/color&gt;"</f>
        <v>&lt;color=#f044dc&gt;礼物2&lt;/color&gt;</v>
      </c>
      <c r="S49" s="18" t="str">
        <f t="shared" si="7"/>
        <v>&lt;color=#f044dc&gt;礼物2&lt;/color&gt;</v>
      </c>
    </row>
    <row r="50" spans="2:19" s="6" customFormat="1" x14ac:dyDescent="0.3">
      <c r="B50" s="1">
        <v>3015</v>
      </c>
      <c r="C50" s="20" t="s">
        <v>525</v>
      </c>
      <c r="D50" s="20" t="s">
        <v>531</v>
      </c>
      <c r="E50" s="4">
        <v>3</v>
      </c>
      <c r="F50" s="4">
        <v>13</v>
      </c>
      <c r="G50" s="10">
        <v>1</v>
      </c>
      <c r="H50" s="10">
        <v>1</v>
      </c>
      <c r="I50" s="13"/>
      <c r="K50" s="13" t="s">
        <v>981</v>
      </c>
      <c r="L50" s="4">
        <v>1016</v>
      </c>
      <c r="M50" s="4">
        <v>0</v>
      </c>
      <c r="N50" s="4">
        <v>3015</v>
      </c>
      <c r="O50" s="4">
        <v>0</v>
      </c>
      <c r="P50" s="4">
        <v>0</v>
      </c>
      <c r="Q50" s="4">
        <v>0</v>
      </c>
      <c r="R50" s="7" t="str">
        <f>"&lt;color=#"&amp;VLOOKUP(E50,[1]品质主表!$B$6:$C$13,2,FALSE)&amp;"&gt;"&amp;C50&amp;"&lt;/color&gt;"</f>
        <v>&lt;color=#f044dc&gt;礼物4&lt;/color&gt;</v>
      </c>
      <c r="S50" s="18" t="str">
        <f t="shared" si="7"/>
        <v>&lt;color=#f044dc&gt;礼物4&lt;/color&gt;</v>
      </c>
    </row>
    <row r="51" spans="2:19" s="6" customFormat="1" x14ac:dyDescent="0.3">
      <c r="B51" s="1">
        <v>3016</v>
      </c>
      <c r="C51" s="20" t="s">
        <v>526</v>
      </c>
      <c r="D51" s="20" t="s">
        <v>532</v>
      </c>
      <c r="E51" s="4">
        <v>3</v>
      </c>
      <c r="F51" s="4">
        <v>13</v>
      </c>
      <c r="G51" s="10">
        <v>1</v>
      </c>
      <c r="H51" s="10">
        <v>1</v>
      </c>
      <c r="I51" s="13"/>
      <c r="K51" s="13" t="s">
        <v>982</v>
      </c>
      <c r="L51" s="4">
        <v>1017</v>
      </c>
      <c r="M51" s="4">
        <v>0</v>
      </c>
      <c r="N51" s="4">
        <v>3016</v>
      </c>
      <c r="O51" s="4">
        <v>0</v>
      </c>
      <c r="P51" s="4">
        <v>0</v>
      </c>
      <c r="Q51" s="4">
        <v>0</v>
      </c>
      <c r="R51" s="7" t="str">
        <f>"&lt;color=#"&amp;VLOOKUP(E51,[1]品质主表!$B$6:$C$13,2,FALSE)&amp;"&gt;"&amp;C51&amp;"&lt;/color&gt;"</f>
        <v>&lt;color=#f044dc&gt;礼物5&lt;/color&gt;</v>
      </c>
      <c r="S51" s="18" t="str">
        <f t="shared" si="7"/>
        <v>&lt;color=#f044dc&gt;礼物5&lt;/color&gt;</v>
      </c>
    </row>
    <row r="52" spans="2:19" s="6" customFormat="1" x14ac:dyDescent="0.3">
      <c r="B52" s="1">
        <v>3017</v>
      </c>
      <c r="C52" s="20" t="s">
        <v>527</v>
      </c>
      <c r="D52" s="20" t="s">
        <v>533</v>
      </c>
      <c r="E52" s="4">
        <v>3</v>
      </c>
      <c r="F52" s="4">
        <v>13</v>
      </c>
      <c r="G52" s="10">
        <v>1</v>
      </c>
      <c r="H52" s="10">
        <v>1</v>
      </c>
      <c r="I52" s="13"/>
      <c r="K52" s="13" t="s">
        <v>983</v>
      </c>
      <c r="L52" s="4">
        <v>1018</v>
      </c>
      <c r="M52" s="4">
        <v>0</v>
      </c>
      <c r="N52" s="4">
        <v>3017</v>
      </c>
      <c r="O52" s="4">
        <v>0</v>
      </c>
      <c r="P52" s="4">
        <v>0</v>
      </c>
      <c r="Q52" s="4">
        <v>0</v>
      </c>
      <c r="R52" s="7" t="str">
        <f>"&lt;color=#"&amp;VLOOKUP(E52,[1]品质主表!$B$6:$C$13,2,FALSE)&amp;"&gt;"&amp;C52&amp;"&lt;/color&gt;"</f>
        <v>&lt;color=#f044dc&gt;礼物6&lt;/color&gt;</v>
      </c>
      <c r="S52" s="18" t="str">
        <f t="shared" si="7"/>
        <v>&lt;color=#f044dc&gt;礼物6&lt;/color&gt;</v>
      </c>
    </row>
    <row r="53" spans="2:19" s="6" customFormat="1" x14ac:dyDescent="0.3">
      <c r="B53" s="1">
        <v>3018</v>
      </c>
      <c r="C53" s="20" t="s">
        <v>742</v>
      </c>
      <c r="D53" s="20" t="s">
        <v>743</v>
      </c>
      <c r="E53" s="4">
        <v>3</v>
      </c>
      <c r="F53" s="4">
        <v>13</v>
      </c>
      <c r="G53" s="10">
        <v>1</v>
      </c>
      <c r="H53" s="10">
        <v>1</v>
      </c>
      <c r="I53" s="13"/>
      <c r="K53" s="13" t="s">
        <v>984</v>
      </c>
      <c r="L53" s="4">
        <v>1019</v>
      </c>
      <c r="M53" s="4">
        <v>0</v>
      </c>
      <c r="N53" s="4">
        <v>3018</v>
      </c>
      <c r="O53" s="4">
        <v>0</v>
      </c>
      <c r="P53" s="4">
        <v>0</v>
      </c>
      <c r="Q53" s="4">
        <v>0</v>
      </c>
      <c r="R53" s="7" t="str">
        <f>"&lt;color=#"&amp;VLOOKUP(E53,[1]品质主表!$B$6:$C$13,2,FALSE)&amp;"&gt;"&amp;C53&amp;"&lt;/color&gt;"</f>
        <v>&lt;color=#f044dc&gt;礼物7&lt;/color&gt;</v>
      </c>
      <c r="S53" s="18" t="str">
        <f t="shared" si="7"/>
        <v>&lt;color=#f044dc&gt;礼物7&lt;/color&gt;</v>
      </c>
    </row>
    <row r="54" spans="2:19" s="6" customFormat="1" x14ac:dyDescent="0.3">
      <c r="B54" s="1">
        <v>3019</v>
      </c>
      <c r="C54" s="20" t="s">
        <v>744</v>
      </c>
      <c r="D54" s="20" t="s">
        <v>745</v>
      </c>
      <c r="E54" s="4">
        <v>3</v>
      </c>
      <c r="F54" s="4">
        <v>13</v>
      </c>
      <c r="G54" s="10">
        <v>1</v>
      </c>
      <c r="H54" s="10">
        <v>1</v>
      </c>
      <c r="I54" s="13"/>
      <c r="K54" s="13" t="s">
        <v>985</v>
      </c>
      <c r="L54" s="4">
        <v>1020</v>
      </c>
      <c r="M54" s="4">
        <v>0</v>
      </c>
      <c r="N54" s="4">
        <v>3019</v>
      </c>
      <c r="O54" s="4">
        <v>0</v>
      </c>
      <c r="P54" s="4">
        <v>0</v>
      </c>
      <c r="Q54" s="4">
        <v>0</v>
      </c>
      <c r="R54" s="7" t="str">
        <f>"&lt;color=#"&amp;VLOOKUP(E54,[1]品质主表!$B$6:$C$13,2,FALSE)&amp;"&gt;"&amp;C54&amp;"&lt;/color&gt;"</f>
        <v>&lt;color=#f044dc&gt;礼物8&lt;/color&gt;</v>
      </c>
      <c r="S54" s="18" t="str">
        <f t="shared" si="7"/>
        <v>&lt;color=#f044dc&gt;礼物8&lt;/color&gt;</v>
      </c>
    </row>
    <row r="55" spans="2:19" s="6" customFormat="1" x14ac:dyDescent="0.3">
      <c r="B55" s="1">
        <v>3020</v>
      </c>
      <c r="C55" s="20" t="s">
        <v>524</v>
      </c>
      <c r="D55" s="20" t="s">
        <v>530</v>
      </c>
      <c r="E55" s="4">
        <v>3</v>
      </c>
      <c r="F55" s="4">
        <v>13</v>
      </c>
      <c r="G55" s="10">
        <v>1</v>
      </c>
      <c r="H55" s="10">
        <v>1</v>
      </c>
      <c r="I55" s="13"/>
      <c r="K55" s="13" t="s">
        <v>986</v>
      </c>
      <c r="L55" s="4">
        <v>1015</v>
      </c>
      <c r="M55" s="4">
        <v>0</v>
      </c>
      <c r="N55" s="4">
        <v>3020</v>
      </c>
      <c r="O55" s="4">
        <v>0</v>
      </c>
      <c r="P55" s="4">
        <v>0</v>
      </c>
      <c r="Q55" s="4">
        <v>0</v>
      </c>
      <c r="R55" s="7" t="str">
        <f>"&lt;color=#"&amp;VLOOKUP(E55,[1]品质主表!$B$6:$C$13,2,FALSE)&amp;"&gt;"&amp;C55&amp;"&lt;/color&gt;"</f>
        <v>&lt;color=#f044dc&gt;礼物3&lt;/color&gt;</v>
      </c>
      <c r="S55" s="18" t="str">
        <f t="shared" si="7"/>
        <v>&lt;color=#f044dc&gt;礼物3&lt;/color&gt;</v>
      </c>
    </row>
    <row r="56" spans="2:19" s="6" customFormat="1" x14ac:dyDescent="0.3">
      <c r="B56" s="1">
        <v>4013</v>
      </c>
      <c r="C56" s="20" t="s">
        <v>522</v>
      </c>
      <c r="D56" s="20" t="s">
        <v>528</v>
      </c>
      <c r="E56" s="4">
        <v>3</v>
      </c>
      <c r="F56" s="4">
        <v>13</v>
      </c>
      <c r="G56" s="10">
        <v>1</v>
      </c>
      <c r="H56" s="10">
        <v>1</v>
      </c>
      <c r="I56" s="13"/>
      <c r="K56" s="13" t="s">
        <v>987</v>
      </c>
      <c r="L56" s="4">
        <v>1013</v>
      </c>
      <c r="M56" s="4">
        <v>0</v>
      </c>
      <c r="N56" s="4">
        <v>3013</v>
      </c>
      <c r="O56" s="4">
        <v>0</v>
      </c>
      <c r="P56" s="4">
        <v>0</v>
      </c>
      <c r="Q56" s="4">
        <v>0</v>
      </c>
      <c r="R56" s="7" t="str">
        <f>"&lt;color=#"&amp;VLOOKUP(E56,[1]品质主表!$B$6:$C$13,2,FALSE)&amp;"&gt;"&amp;C56&amp;"&lt;/color&gt;"</f>
        <v>&lt;color=#f044dc&gt;礼物1&lt;/color&gt;</v>
      </c>
      <c r="S56" s="18" t="str">
        <f t="shared" ref="S56:S63" si="8">R56</f>
        <v>&lt;color=#f044dc&gt;礼物1&lt;/color&gt;</v>
      </c>
    </row>
    <row r="57" spans="2:19" s="6" customFormat="1" x14ac:dyDescent="0.3">
      <c r="B57" s="1">
        <v>4014</v>
      </c>
      <c r="C57" s="20" t="s">
        <v>523</v>
      </c>
      <c r="D57" s="20" t="s">
        <v>529</v>
      </c>
      <c r="E57" s="4">
        <v>3</v>
      </c>
      <c r="F57" s="4">
        <v>13</v>
      </c>
      <c r="G57" s="10">
        <v>1</v>
      </c>
      <c r="H57" s="10">
        <v>1</v>
      </c>
      <c r="I57" s="13"/>
      <c r="K57" s="44" t="s">
        <v>988</v>
      </c>
      <c r="L57" s="4">
        <v>1014</v>
      </c>
      <c r="M57" s="4">
        <v>0</v>
      </c>
      <c r="N57" s="4">
        <v>3014</v>
      </c>
      <c r="O57" s="4">
        <v>0</v>
      </c>
      <c r="P57" s="4">
        <v>0</v>
      </c>
      <c r="Q57" s="4">
        <v>0</v>
      </c>
      <c r="R57" s="7" t="str">
        <f>"&lt;color=#"&amp;VLOOKUP(E57,[1]品质主表!$B$6:$C$13,2,FALSE)&amp;"&gt;"&amp;C57&amp;"&lt;/color&gt;"</f>
        <v>&lt;color=#f044dc&gt;礼物2&lt;/color&gt;</v>
      </c>
      <c r="S57" s="18" t="str">
        <f t="shared" si="8"/>
        <v>&lt;color=#f044dc&gt;礼物2&lt;/color&gt;</v>
      </c>
    </row>
    <row r="58" spans="2:19" s="6" customFormat="1" x14ac:dyDescent="0.3">
      <c r="B58" s="1">
        <v>4015</v>
      </c>
      <c r="C58" s="20" t="s">
        <v>525</v>
      </c>
      <c r="D58" s="20" t="s">
        <v>531</v>
      </c>
      <c r="E58" s="4">
        <v>3</v>
      </c>
      <c r="F58" s="4">
        <v>13</v>
      </c>
      <c r="G58" s="10">
        <v>1</v>
      </c>
      <c r="H58" s="10">
        <v>1</v>
      </c>
      <c r="I58" s="13"/>
      <c r="K58" s="13" t="s">
        <v>989</v>
      </c>
      <c r="L58" s="4">
        <v>1016</v>
      </c>
      <c r="M58" s="4">
        <v>0</v>
      </c>
      <c r="N58" s="4">
        <v>3015</v>
      </c>
      <c r="O58" s="4">
        <v>0</v>
      </c>
      <c r="P58" s="4">
        <v>0</v>
      </c>
      <c r="Q58" s="4">
        <v>0</v>
      </c>
      <c r="R58" s="7" t="str">
        <f>"&lt;color=#"&amp;VLOOKUP(E58,[1]品质主表!$B$6:$C$13,2,FALSE)&amp;"&gt;"&amp;C58&amp;"&lt;/color&gt;"</f>
        <v>&lt;color=#f044dc&gt;礼物4&lt;/color&gt;</v>
      </c>
      <c r="S58" s="18" t="str">
        <f t="shared" si="8"/>
        <v>&lt;color=#f044dc&gt;礼物4&lt;/color&gt;</v>
      </c>
    </row>
    <row r="59" spans="2:19" s="6" customFormat="1" x14ac:dyDescent="0.3">
      <c r="B59" s="1">
        <v>4016</v>
      </c>
      <c r="C59" s="20" t="s">
        <v>526</v>
      </c>
      <c r="D59" s="20" t="s">
        <v>532</v>
      </c>
      <c r="E59" s="4">
        <v>3</v>
      </c>
      <c r="F59" s="4">
        <v>13</v>
      </c>
      <c r="G59" s="10">
        <v>1</v>
      </c>
      <c r="H59" s="10">
        <v>1</v>
      </c>
      <c r="I59" s="13"/>
      <c r="K59" s="13" t="s">
        <v>990</v>
      </c>
      <c r="L59" s="4">
        <v>1017</v>
      </c>
      <c r="M59" s="4">
        <v>0</v>
      </c>
      <c r="N59" s="4">
        <v>3016</v>
      </c>
      <c r="O59" s="4">
        <v>0</v>
      </c>
      <c r="P59" s="4">
        <v>0</v>
      </c>
      <c r="Q59" s="4">
        <v>0</v>
      </c>
      <c r="R59" s="7" t="str">
        <f>"&lt;color=#"&amp;VLOOKUP(E59,[1]品质主表!$B$6:$C$13,2,FALSE)&amp;"&gt;"&amp;C59&amp;"&lt;/color&gt;"</f>
        <v>&lt;color=#f044dc&gt;礼物5&lt;/color&gt;</v>
      </c>
      <c r="S59" s="18" t="str">
        <f t="shared" si="8"/>
        <v>&lt;color=#f044dc&gt;礼物5&lt;/color&gt;</v>
      </c>
    </row>
    <row r="60" spans="2:19" s="6" customFormat="1" x14ac:dyDescent="0.3">
      <c r="B60" s="1">
        <v>4017</v>
      </c>
      <c r="C60" s="20" t="s">
        <v>527</v>
      </c>
      <c r="D60" s="20" t="s">
        <v>533</v>
      </c>
      <c r="E60" s="4">
        <v>3</v>
      </c>
      <c r="F60" s="4">
        <v>13</v>
      </c>
      <c r="G60" s="10">
        <v>1</v>
      </c>
      <c r="H60" s="10">
        <v>1</v>
      </c>
      <c r="I60" s="13"/>
      <c r="K60" s="13" t="s">
        <v>991</v>
      </c>
      <c r="L60" s="4">
        <v>1018</v>
      </c>
      <c r="M60" s="4">
        <v>0</v>
      </c>
      <c r="N60" s="4">
        <v>3017</v>
      </c>
      <c r="O60" s="4">
        <v>0</v>
      </c>
      <c r="P60" s="4">
        <v>0</v>
      </c>
      <c r="Q60" s="4">
        <v>0</v>
      </c>
      <c r="R60" s="7" t="str">
        <f>"&lt;color=#"&amp;VLOOKUP(E60,[1]品质主表!$B$6:$C$13,2,FALSE)&amp;"&gt;"&amp;C60&amp;"&lt;/color&gt;"</f>
        <v>&lt;color=#f044dc&gt;礼物6&lt;/color&gt;</v>
      </c>
      <c r="S60" s="18" t="str">
        <f t="shared" si="8"/>
        <v>&lt;color=#f044dc&gt;礼物6&lt;/color&gt;</v>
      </c>
    </row>
    <row r="61" spans="2:19" s="6" customFormat="1" x14ac:dyDescent="0.3">
      <c r="B61" s="1">
        <v>4018</v>
      </c>
      <c r="C61" s="20" t="s">
        <v>742</v>
      </c>
      <c r="D61" s="20" t="s">
        <v>743</v>
      </c>
      <c r="E61" s="4">
        <v>3</v>
      </c>
      <c r="F61" s="4">
        <v>13</v>
      </c>
      <c r="G61" s="10">
        <v>1</v>
      </c>
      <c r="H61" s="10">
        <v>1</v>
      </c>
      <c r="I61" s="13"/>
      <c r="K61" s="13" t="s">
        <v>992</v>
      </c>
      <c r="L61" s="4">
        <v>1019</v>
      </c>
      <c r="M61" s="4">
        <v>0</v>
      </c>
      <c r="N61" s="4">
        <v>3018</v>
      </c>
      <c r="O61" s="4">
        <v>0</v>
      </c>
      <c r="P61" s="4">
        <v>0</v>
      </c>
      <c r="Q61" s="4">
        <v>0</v>
      </c>
      <c r="R61" s="7" t="str">
        <f>"&lt;color=#"&amp;VLOOKUP(E61,[1]品质主表!$B$6:$C$13,2,FALSE)&amp;"&gt;"&amp;C61&amp;"&lt;/color&gt;"</f>
        <v>&lt;color=#f044dc&gt;礼物7&lt;/color&gt;</v>
      </c>
      <c r="S61" s="18" t="str">
        <f t="shared" si="8"/>
        <v>&lt;color=#f044dc&gt;礼物7&lt;/color&gt;</v>
      </c>
    </row>
    <row r="62" spans="2:19" s="6" customFormat="1" x14ac:dyDescent="0.3">
      <c r="B62" s="1">
        <v>4019</v>
      </c>
      <c r="C62" s="20" t="s">
        <v>744</v>
      </c>
      <c r="D62" s="20" t="s">
        <v>745</v>
      </c>
      <c r="E62" s="4">
        <v>3</v>
      </c>
      <c r="F62" s="4">
        <v>13</v>
      </c>
      <c r="G62" s="10">
        <v>1</v>
      </c>
      <c r="H62" s="10">
        <v>1</v>
      </c>
      <c r="I62" s="13"/>
      <c r="K62" s="13" t="s">
        <v>993</v>
      </c>
      <c r="L62" s="4">
        <v>1020</v>
      </c>
      <c r="M62" s="4">
        <v>0</v>
      </c>
      <c r="N62" s="4">
        <v>3019</v>
      </c>
      <c r="O62" s="4">
        <v>0</v>
      </c>
      <c r="P62" s="4">
        <v>0</v>
      </c>
      <c r="Q62" s="4">
        <v>0</v>
      </c>
      <c r="R62" s="7" t="str">
        <f>"&lt;color=#"&amp;VLOOKUP(E62,[1]品质主表!$B$6:$C$13,2,FALSE)&amp;"&gt;"&amp;C62&amp;"&lt;/color&gt;"</f>
        <v>&lt;color=#f044dc&gt;礼物8&lt;/color&gt;</v>
      </c>
      <c r="S62" s="18" t="str">
        <f t="shared" si="8"/>
        <v>&lt;color=#f044dc&gt;礼物8&lt;/color&gt;</v>
      </c>
    </row>
    <row r="63" spans="2:19" s="6" customFormat="1" x14ac:dyDescent="0.3">
      <c r="B63" s="1">
        <v>4020</v>
      </c>
      <c r="C63" s="20" t="s">
        <v>524</v>
      </c>
      <c r="D63" s="20" t="s">
        <v>530</v>
      </c>
      <c r="E63" s="4">
        <v>3</v>
      </c>
      <c r="F63" s="4">
        <v>13</v>
      </c>
      <c r="G63" s="10">
        <v>1</v>
      </c>
      <c r="H63" s="10">
        <v>1</v>
      </c>
      <c r="I63" s="13"/>
      <c r="K63" s="13" t="s">
        <v>994</v>
      </c>
      <c r="L63" s="4">
        <v>1015</v>
      </c>
      <c r="M63" s="4">
        <v>0</v>
      </c>
      <c r="N63" s="4">
        <v>3020</v>
      </c>
      <c r="O63" s="4">
        <v>0</v>
      </c>
      <c r="P63" s="4">
        <v>0</v>
      </c>
      <c r="Q63" s="4">
        <v>0</v>
      </c>
      <c r="R63" s="7" t="str">
        <f>"&lt;color=#"&amp;VLOOKUP(E63,[1]品质主表!$B$6:$C$13,2,FALSE)&amp;"&gt;"&amp;C63&amp;"&lt;/color&gt;"</f>
        <v>&lt;color=#f044dc&gt;礼物3&lt;/color&gt;</v>
      </c>
      <c r="S63" s="18" t="str">
        <f t="shared" si="8"/>
        <v>&lt;color=#f044dc&gt;礼物3&lt;/color&gt;</v>
      </c>
    </row>
    <row r="64" spans="2:19" s="6" customFormat="1" x14ac:dyDescent="0.3">
      <c r="B64" s="1">
        <v>10001</v>
      </c>
      <c r="C64" s="7" t="s">
        <v>65</v>
      </c>
      <c r="D64" s="7" t="s">
        <v>339</v>
      </c>
      <c r="E64" s="4">
        <v>1</v>
      </c>
      <c r="F64" s="4">
        <v>7</v>
      </c>
      <c r="G64" s="10">
        <v>5</v>
      </c>
      <c r="H64" s="10">
        <v>1</v>
      </c>
      <c r="I64" s="13"/>
      <c r="J64" s="13" t="s">
        <v>66</v>
      </c>
      <c r="K64" s="13"/>
      <c r="L64" s="4">
        <v>10101</v>
      </c>
      <c r="M64" s="4">
        <v>0</v>
      </c>
      <c r="N64" s="4">
        <f t="shared" ref="N64:N95" si="9">B64</f>
        <v>10001</v>
      </c>
      <c r="O64" s="4">
        <v>1</v>
      </c>
      <c r="P64" s="4">
        <v>0</v>
      </c>
      <c r="Q64" s="4">
        <v>1</v>
      </c>
      <c r="R64" s="7" t="str">
        <f>"&lt;color=#"&amp;VLOOKUP(E64,[1]品质主表!$B$6:$C$13,2,FALSE)&amp;"&gt;"&amp;C64&amp;"&lt;/color&gt;"</f>
        <v>&lt;color=#18e71a&gt;凝神决&lt;/color&gt;</v>
      </c>
      <c r="S64" s="6" t="s">
        <v>339</v>
      </c>
    </row>
    <row r="65" spans="2:19" s="6" customFormat="1" x14ac:dyDescent="0.3">
      <c r="B65" s="1">
        <v>10002</v>
      </c>
      <c r="C65" s="7" t="s">
        <v>65</v>
      </c>
      <c r="D65" s="7" t="s">
        <v>340</v>
      </c>
      <c r="E65" s="4">
        <v>2</v>
      </c>
      <c r="F65" s="4">
        <v>7</v>
      </c>
      <c r="G65" s="10">
        <v>5</v>
      </c>
      <c r="H65" s="10">
        <v>1</v>
      </c>
      <c r="I65" s="13"/>
      <c r="J65" s="13" t="s">
        <v>67</v>
      </c>
      <c r="K65" s="13"/>
      <c r="L65" s="4">
        <v>10201</v>
      </c>
      <c r="M65" s="4">
        <v>0</v>
      </c>
      <c r="N65" s="4">
        <f t="shared" si="9"/>
        <v>10002</v>
      </c>
      <c r="O65" s="4">
        <v>1</v>
      </c>
      <c r="P65" s="4">
        <v>0</v>
      </c>
      <c r="Q65" s="4">
        <v>1</v>
      </c>
      <c r="R65" s="7" t="str">
        <f>"&lt;color=#"&amp;VLOOKUP(E65,[1]品质主表!$B$6:$C$13,2,FALSE)&amp;"&gt;"&amp;C65&amp;"&lt;/color&gt;"</f>
        <v>&lt;color=#40f3ff&gt;凝神决&lt;/color&gt;</v>
      </c>
      <c r="S65" s="6" t="s">
        <v>340</v>
      </c>
    </row>
    <row r="66" spans="2:19" s="6" customFormat="1" x14ac:dyDescent="0.3">
      <c r="B66" s="1">
        <v>10003</v>
      </c>
      <c r="C66" s="7" t="s">
        <v>65</v>
      </c>
      <c r="D66" s="7" t="s">
        <v>341</v>
      </c>
      <c r="E66" s="4">
        <v>3</v>
      </c>
      <c r="F66" s="4">
        <v>7</v>
      </c>
      <c r="G66" s="10">
        <v>5</v>
      </c>
      <c r="H66" s="10">
        <v>1</v>
      </c>
      <c r="I66" s="13"/>
      <c r="J66" s="13" t="s">
        <v>68</v>
      </c>
      <c r="K66" s="13"/>
      <c r="L66" s="4">
        <v>10301</v>
      </c>
      <c r="M66" s="4">
        <v>0</v>
      </c>
      <c r="N66" s="4">
        <f t="shared" si="9"/>
        <v>10003</v>
      </c>
      <c r="O66" s="4">
        <v>1</v>
      </c>
      <c r="P66" s="4">
        <v>0</v>
      </c>
      <c r="Q66" s="4">
        <v>1</v>
      </c>
      <c r="R66" s="7" t="str">
        <f>"&lt;color=#"&amp;VLOOKUP(E66,[1]品质主表!$B$6:$C$13,2,FALSE)&amp;"&gt;"&amp;C66&amp;"&lt;/color&gt;"</f>
        <v>&lt;color=#f044dc&gt;凝神决&lt;/color&gt;</v>
      </c>
      <c r="S66" s="6" t="s">
        <v>341</v>
      </c>
    </row>
    <row r="67" spans="2:19" x14ac:dyDescent="0.3">
      <c r="B67" s="1">
        <v>10004</v>
      </c>
      <c r="C67" t="s">
        <v>65</v>
      </c>
      <c r="D67" s="7" t="s">
        <v>342</v>
      </c>
      <c r="E67" s="1">
        <v>4</v>
      </c>
      <c r="F67" s="4">
        <v>7</v>
      </c>
      <c r="G67" s="10">
        <v>5</v>
      </c>
      <c r="H67" s="10">
        <v>1</v>
      </c>
      <c r="I67" s="13"/>
      <c r="J67" s="13" t="s">
        <v>69</v>
      </c>
      <c r="K67" s="13"/>
      <c r="L67" s="4">
        <v>10401</v>
      </c>
      <c r="M67" s="4">
        <v>0</v>
      </c>
      <c r="N67" s="4">
        <f t="shared" si="9"/>
        <v>10004</v>
      </c>
      <c r="O67" s="4">
        <v>1</v>
      </c>
      <c r="P67" s="4">
        <v>0</v>
      </c>
      <c r="Q67" s="4">
        <v>1</v>
      </c>
      <c r="R67" s="7" t="str">
        <f>"&lt;color=#"&amp;VLOOKUP(E67,[1]品质主表!$B$6:$C$13,2,FALSE)&amp;"&gt;"&amp;C67&amp;"&lt;/color&gt;"</f>
        <v>&lt;color=#edde00&gt;凝神决&lt;/color&gt;</v>
      </c>
      <c r="S67" t="s">
        <v>342</v>
      </c>
    </row>
    <row r="68" spans="2:19" x14ac:dyDescent="0.3">
      <c r="B68" s="1">
        <v>10005</v>
      </c>
      <c r="C68" t="s">
        <v>65</v>
      </c>
      <c r="D68" s="7" t="s">
        <v>72</v>
      </c>
      <c r="E68" s="1">
        <v>5</v>
      </c>
      <c r="F68" s="4">
        <v>7</v>
      </c>
      <c r="G68" s="10">
        <v>5</v>
      </c>
      <c r="H68" s="10">
        <v>1</v>
      </c>
      <c r="I68" s="13"/>
      <c r="J68" s="13" t="s">
        <v>70</v>
      </c>
      <c r="K68" s="13"/>
      <c r="L68" s="4">
        <v>10501</v>
      </c>
      <c r="M68" s="4">
        <v>0</v>
      </c>
      <c r="N68" s="4">
        <f t="shared" si="9"/>
        <v>10005</v>
      </c>
      <c r="O68" s="4">
        <v>1</v>
      </c>
      <c r="P68" s="4">
        <v>0</v>
      </c>
      <c r="Q68" s="4">
        <v>1</v>
      </c>
      <c r="R68" s="7" t="str">
        <f>"&lt;color=#"&amp;VLOOKUP(E68,[1]品质主表!$B$6:$C$13,2,FALSE)&amp;"&gt;"&amp;C68&amp;"&lt;/color&gt;"</f>
        <v>&lt;color=#ff8000&gt;凝神决&lt;/color&gt;</v>
      </c>
      <c r="S68" t="s">
        <v>72</v>
      </c>
    </row>
    <row r="69" spans="2:19" x14ac:dyDescent="0.3">
      <c r="B69" s="1">
        <v>10006</v>
      </c>
      <c r="C69" t="s">
        <v>65</v>
      </c>
      <c r="D69" s="7" t="s">
        <v>343</v>
      </c>
      <c r="E69" s="1">
        <v>6</v>
      </c>
      <c r="F69" s="4">
        <v>7</v>
      </c>
      <c r="G69" s="10">
        <v>5</v>
      </c>
      <c r="H69" s="10">
        <v>1</v>
      </c>
      <c r="I69" s="13"/>
      <c r="J69" s="13" t="s">
        <v>71</v>
      </c>
      <c r="K69" s="13"/>
      <c r="L69" s="4">
        <v>10601</v>
      </c>
      <c r="M69" s="4">
        <v>0</v>
      </c>
      <c r="N69" s="4">
        <f t="shared" si="9"/>
        <v>10006</v>
      </c>
      <c r="O69" s="4">
        <v>1</v>
      </c>
      <c r="P69" s="4">
        <v>0</v>
      </c>
      <c r="Q69" s="4">
        <v>1</v>
      </c>
      <c r="R69" s="7" t="str">
        <f>"&lt;color=#"&amp;VLOOKUP(E69,[1]品质主表!$B$6:$C$13,2,FALSE)&amp;"&gt;"&amp;C69&amp;"&lt;/color&gt;"</f>
        <v>&lt;color=#ff4d4d&gt;凝神决&lt;/color&gt;</v>
      </c>
      <c r="S69" t="s">
        <v>343</v>
      </c>
    </row>
    <row r="70" spans="2:19" x14ac:dyDescent="0.3">
      <c r="B70" s="1">
        <v>10007</v>
      </c>
      <c r="C70" t="s">
        <v>65</v>
      </c>
      <c r="D70" s="7" t="s">
        <v>344</v>
      </c>
      <c r="E70" s="1">
        <v>7</v>
      </c>
      <c r="F70" s="4">
        <v>7</v>
      </c>
      <c r="G70" s="10">
        <v>5</v>
      </c>
      <c r="H70" s="10">
        <v>1</v>
      </c>
      <c r="I70" s="13"/>
      <c r="J70" s="13" t="s">
        <v>73</v>
      </c>
      <c r="K70" s="13"/>
      <c r="L70" s="4">
        <v>10701</v>
      </c>
      <c r="M70" s="4">
        <v>0</v>
      </c>
      <c r="N70" s="4">
        <f t="shared" si="9"/>
        <v>10007</v>
      </c>
      <c r="O70" s="4">
        <v>1</v>
      </c>
      <c r="P70" s="4">
        <v>0</v>
      </c>
      <c r="Q70" s="4">
        <v>1</v>
      </c>
      <c r="R70" s="7" t="str">
        <f>"&lt;color=#"&amp;VLOOKUP(E70,[1]品质主表!$B$6:$C$13,2,FALSE)&amp;"&gt;"&amp;C70&amp;"&lt;/color&gt;"</f>
        <v>&lt;color=#ff779d&gt;凝神决&lt;/color&gt;</v>
      </c>
      <c r="S70" t="s">
        <v>344</v>
      </c>
    </row>
    <row r="71" spans="2:19" x14ac:dyDescent="0.3">
      <c r="B71" s="1">
        <v>10008</v>
      </c>
      <c r="C71" t="s">
        <v>848</v>
      </c>
      <c r="D71" s="7" t="s">
        <v>849</v>
      </c>
      <c r="E71" s="1">
        <v>7</v>
      </c>
      <c r="F71" s="4">
        <v>7</v>
      </c>
      <c r="G71" s="10">
        <v>5</v>
      </c>
      <c r="H71" s="10">
        <v>1</v>
      </c>
      <c r="I71" s="13"/>
      <c r="J71" s="13" t="s">
        <v>827</v>
      </c>
      <c r="K71" s="13"/>
      <c r="L71" s="4">
        <v>10801</v>
      </c>
      <c r="M71" s="4">
        <v>0</v>
      </c>
      <c r="N71" s="4">
        <f t="shared" si="9"/>
        <v>10008</v>
      </c>
      <c r="O71" s="4">
        <v>1</v>
      </c>
      <c r="P71" s="4">
        <v>0</v>
      </c>
      <c r="Q71" s="4">
        <v>1</v>
      </c>
      <c r="R71" s="7" t="str">
        <f>"&lt;color=#"&amp;VLOOKUP(E71,[1]品质主表!$B$6:$C$13,2,FALSE)&amp;"&gt;"&amp;C71&amp;"&lt;/color&gt;"</f>
        <v>&lt;color=#ff779d&gt;神·凝神决&lt;/color&gt;</v>
      </c>
      <c r="S71" t="s">
        <v>849</v>
      </c>
    </row>
    <row r="72" spans="2:19" x14ac:dyDescent="0.3">
      <c r="B72" s="1">
        <v>10101</v>
      </c>
      <c r="C72" t="s">
        <v>74</v>
      </c>
      <c r="D72" t="s">
        <v>630</v>
      </c>
      <c r="E72" s="1">
        <v>1</v>
      </c>
      <c r="F72" s="4">
        <v>7</v>
      </c>
      <c r="G72" s="10">
        <v>5</v>
      </c>
      <c r="H72" s="10">
        <v>1</v>
      </c>
      <c r="I72" s="13"/>
      <c r="J72" s="13" t="s">
        <v>75</v>
      </c>
      <c r="K72" s="13"/>
      <c r="L72" s="4">
        <v>10102</v>
      </c>
      <c r="M72" s="4">
        <v>0</v>
      </c>
      <c r="N72" s="4">
        <f t="shared" si="9"/>
        <v>10101</v>
      </c>
      <c r="O72" s="4">
        <v>1</v>
      </c>
      <c r="P72" s="4">
        <v>0</v>
      </c>
      <c r="Q72" s="4">
        <v>1</v>
      </c>
      <c r="R72" s="7" t="str">
        <f>"&lt;color=#"&amp;VLOOKUP(E72,[1]品质主表!$B$6:$C$13,2,FALSE)&amp;"&gt;"&amp;C72&amp;"&lt;/color&gt;"</f>
        <v>&lt;color=#18e71a&gt;聚灵经&lt;/color&gt;</v>
      </c>
      <c r="S72" t="s">
        <v>630</v>
      </c>
    </row>
    <row r="73" spans="2:19" x14ac:dyDescent="0.3">
      <c r="B73" s="1">
        <v>10102</v>
      </c>
      <c r="C73" t="s">
        <v>74</v>
      </c>
      <c r="D73" t="s">
        <v>631</v>
      </c>
      <c r="E73" s="1">
        <v>2</v>
      </c>
      <c r="F73" s="4">
        <v>7</v>
      </c>
      <c r="G73" s="10">
        <v>5</v>
      </c>
      <c r="H73" s="10">
        <v>1</v>
      </c>
      <c r="I73" s="13"/>
      <c r="J73" s="13" t="s">
        <v>76</v>
      </c>
      <c r="K73" s="13"/>
      <c r="L73" s="4">
        <v>10202</v>
      </c>
      <c r="M73" s="4">
        <v>0</v>
      </c>
      <c r="N73" s="4">
        <f t="shared" si="9"/>
        <v>10102</v>
      </c>
      <c r="O73" s="4">
        <v>1</v>
      </c>
      <c r="P73" s="4">
        <v>0</v>
      </c>
      <c r="Q73" s="4">
        <v>1</v>
      </c>
      <c r="R73" s="7" t="str">
        <f>"&lt;color=#"&amp;VLOOKUP(E73,[1]品质主表!$B$6:$C$13,2,FALSE)&amp;"&gt;"&amp;C73&amp;"&lt;/color&gt;"</f>
        <v>&lt;color=#40f3ff&gt;聚灵经&lt;/color&gt;</v>
      </c>
      <c r="S73" t="s">
        <v>631</v>
      </c>
    </row>
    <row r="74" spans="2:19" x14ac:dyDescent="0.3">
      <c r="B74" s="1">
        <v>10103</v>
      </c>
      <c r="C74" t="s">
        <v>74</v>
      </c>
      <c r="D74" t="s">
        <v>632</v>
      </c>
      <c r="E74" s="1">
        <v>3</v>
      </c>
      <c r="F74" s="4">
        <v>7</v>
      </c>
      <c r="G74" s="10">
        <v>5</v>
      </c>
      <c r="H74" s="10">
        <v>1</v>
      </c>
      <c r="I74" s="13"/>
      <c r="J74" s="13" t="s">
        <v>77</v>
      </c>
      <c r="K74" s="13"/>
      <c r="L74" s="4">
        <v>10302</v>
      </c>
      <c r="M74" s="4">
        <v>0</v>
      </c>
      <c r="N74" s="4">
        <f t="shared" si="9"/>
        <v>10103</v>
      </c>
      <c r="O74" s="4">
        <v>1</v>
      </c>
      <c r="P74" s="4">
        <v>0</v>
      </c>
      <c r="Q74" s="4">
        <v>1</v>
      </c>
      <c r="R74" s="7" t="str">
        <f>"&lt;color=#"&amp;VLOOKUP(E74,[1]品质主表!$B$6:$C$13,2,FALSE)&amp;"&gt;"&amp;C74&amp;"&lt;/color&gt;"</f>
        <v>&lt;color=#f044dc&gt;聚灵经&lt;/color&gt;</v>
      </c>
      <c r="S74" t="s">
        <v>632</v>
      </c>
    </row>
    <row r="75" spans="2:19" x14ac:dyDescent="0.3">
      <c r="B75" s="1">
        <v>10104</v>
      </c>
      <c r="C75" t="s">
        <v>74</v>
      </c>
      <c r="D75" t="s">
        <v>633</v>
      </c>
      <c r="E75" s="1">
        <v>4</v>
      </c>
      <c r="F75" s="4">
        <v>7</v>
      </c>
      <c r="G75" s="10">
        <v>5</v>
      </c>
      <c r="H75" s="10">
        <v>1</v>
      </c>
      <c r="I75" s="13"/>
      <c r="J75" s="13" t="s">
        <v>78</v>
      </c>
      <c r="K75" s="13"/>
      <c r="L75" s="4">
        <v>10402</v>
      </c>
      <c r="M75" s="4">
        <v>0</v>
      </c>
      <c r="N75" s="4">
        <f t="shared" si="9"/>
        <v>10104</v>
      </c>
      <c r="O75" s="4">
        <v>1</v>
      </c>
      <c r="P75" s="4">
        <v>0</v>
      </c>
      <c r="Q75" s="4">
        <v>1</v>
      </c>
      <c r="R75" s="7" t="str">
        <f>"&lt;color=#"&amp;VLOOKUP(E75,[1]品质主表!$B$6:$C$13,2,FALSE)&amp;"&gt;"&amp;C75&amp;"&lt;/color&gt;"</f>
        <v>&lt;color=#edde00&gt;聚灵经&lt;/color&gt;</v>
      </c>
      <c r="S75" t="s">
        <v>633</v>
      </c>
    </row>
    <row r="76" spans="2:19" x14ac:dyDescent="0.3">
      <c r="B76" s="1">
        <v>10105</v>
      </c>
      <c r="C76" t="s">
        <v>74</v>
      </c>
      <c r="D76" t="s">
        <v>634</v>
      </c>
      <c r="E76" s="1">
        <v>5</v>
      </c>
      <c r="F76" s="4">
        <v>7</v>
      </c>
      <c r="G76" s="10">
        <v>5</v>
      </c>
      <c r="H76" s="10">
        <v>1</v>
      </c>
      <c r="I76" s="13"/>
      <c r="J76" s="13" t="s">
        <v>79</v>
      </c>
      <c r="K76" s="13"/>
      <c r="L76" s="4">
        <v>10502</v>
      </c>
      <c r="M76" s="4">
        <v>0</v>
      </c>
      <c r="N76" s="4">
        <f t="shared" si="9"/>
        <v>10105</v>
      </c>
      <c r="O76" s="4">
        <v>1</v>
      </c>
      <c r="P76" s="4">
        <v>0</v>
      </c>
      <c r="Q76" s="4">
        <v>1</v>
      </c>
      <c r="R76" s="7" t="str">
        <f>"&lt;color=#"&amp;VLOOKUP(E76,[1]品质主表!$B$6:$C$13,2,FALSE)&amp;"&gt;"&amp;C76&amp;"&lt;/color&gt;"</f>
        <v>&lt;color=#ff8000&gt;聚灵经&lt;/color&gt;</v>
      </c>
      <c r="S76" t="s">
        <v>634</v>
      </c>
    </row>
    <row r="77" spans="2:19" x14ac:dyDescent="0.3">
      <c r="B77" s="1">
        <v>10106</v>
      </c>
      <c r="C77" t="s">
        <v>74</v>
      </c>
      <c r="D77" t="s">
        <v>635</v>
      </c>
      <c r="E77" s="1">
        <v>6</v>
      </c>
      <c r="F77" s="4">
        <v>7</v>
      </c>
      <c r="G77" s="10">
        <v>5</v>
      </c>
      <c r="H77" s="10">
        <v>1</v>
      </c>
      <c r="I77" s="13"/>
      <c r="J77" s="13" t="s">
        <v>80</v>
      </c>
      <c r="K77" s="13"/>
      <c r="L77" s="4">
        <v>10602</v>
      </c>
      <c r="M77" s="4">
        <v>0</v>
      </c>
      <c r="N77" s="4">
        <f t="shared" si="9"/>
        <v>10106</v>
      </c>
      <c r="O77" s="4">
        <v>1</v>
      </c>
      <c r="P77" s="4">
        <v>0</v>
      </c>
      <c r="Q77" s="4">
        <v>1</v>
      </c>
      <c r="R77" s="7" t="str">
        <f>"&lt;color=#"&amp;VLOOKUP(E77,[1]品质主表!$B$6:$C$13,2,FALSE)&amp;"&gt;"&amp;C77&amp;"&lt;/color&gt;"</f>
        <v>&lt;color=#ff4d4d&gt;聚灵经&lt;/color&gt;</v>
      </c>
      <c r="S77" t="s">
        <v>635</v>
      </c>
    </row>
    <row r="78" spans="2:19" x14ac:dyDescent="0.3">
      <c r="B78" s="1">
        <v>10107</v>
      </c>
      <c r="C78" t="s">
        <v>74</v>
      </c>
      <c r="D78" t="s">
        <v>636</v>
      </c>
      <c r="E78" s="1">
        <v>7</v>
      </c>
      <c r="F78" s="4">
        <v>7</v>
      </c>
      <c r="G78" s="10">
        <v>5</v>
      </c>
      <c r="H78" s="10">
        <v>1</v>
      </c>
      <c r="I78" s="13"/>
      <c r="J78" s="13" t="s">
        <v>81</v>
      </c>
      <c r="K78" s="13"/>
      <c r="L78" s="4">
        <v>10702</v>
      </c>
      <c r="M78" s="4">
        <v>0</v>
      </c>
      <c r="N78" s="4">
        <f t="shared" si="9"/>
        <v>10107</v>
      </c>
      <c r="O78" s="4">
        <v>1</v>
      </c>
      <c r="P78" s="4">
        <v>0</v>
      </c>
      <c r="Q78" s="4">
        <v>1</v>
      </c>
      <c r="R78" s="7" t="str">
        <f>"&lt;color=#"&amp;VLOOKUP(E78,[1]品质主表!$B$6:$C$13,2,FALSE)&amp;"&gt;"&amp;C78&amp;"&lt;/color&gt;"</f>
        <v>&lt;color=#ff779d&gt;聚灵经&lt;/color&gt;</v>
      </c>
      <c r="S78" t="s">
        <v>636</v>
      </c>
    </row>
    <row r="79" spans="2:19" x14ac:dyDescent="0.3">
      <c r="B79" s="1">
        <v>10108</v>
      </c>
      <c r="C79" t="s">
        <v>850</v>
      </c>
      <c r="D79" t="s">
        <v>851</v>
      </c>
      <c r="E79" s="1">
        <v>7</v>
      </c>
      <c r="F79" s="4">
        <v>7</v>
      </c>
      <c r="G79" s="10">
        <v>5</v>
      </c>
      <c r="H79" s="10">
        <v>1</v>
      </c>
      <c r="I79" s="13"/>
      <c r="J79" s="13" t="s">
        <v>828</v>
      </c>
      <c r="K79" s="13"/>
      <c r="L79" s="4">
        <v>10802</v>
      </c>
      <c r="M79" s="4">
        <v>0</v>
      </c>
      <c r="N79" s="4">
        <f t="shared" si="9"/>
        <v>10108</v>
      </c>
      <c r="O79" s="4">
        <v>1</v>
      </c>
      <c r="P79" s="4">
        <v>0</v>
      </c>
      <c r="Q79" s="4">
        <v>1</v>
      </c>
      <c r="R79" s="7" t="str">
        <f>"&lt;color=#"&amp;VLOOKUP(E79,[1]品质主表!$B$6:$C$13,2,FALSE)&amp;"&gt;"&amp;C79&amp;"&lt;/color&gt;"</f>
        <v>&lt;color=#ff779d&gt;神·聚灵经&lt;/color&gt;</v>
      </c>
      <c r="S79" t="s">
        <v>851</v>
      </c>
    </row>
    <row r="80" spans="2:19" x14ac:dyDescent="0.3">
      <c r="B80" s="1">
        <v>10201</v>
      </c>
      <c r="C80" t="s">
        <v>82</v>
      </c>
      <c r="D80" t="s">
        <v>852</v>
      </c>
      <c r="E80" s="1">
        <v>1</v>
      </c>
      <c r="F80" s="4">
        <v>7</v>
      </c>
      <c r="G80" s="10">
        <v>5</v>
      </c>
      <c r="H80" s="10">
        <v>1</v>
      </c>
      <c r="I80" s="13"/>
      <c r="J80" s="13" t="s">
        <v>83</v>
      </c>
      <c r="K80" s="13"/>
      <c r="L80" s="4">
        <v>10103</v>
      </c>
      <c r="M80" s="4">
        <v>0</v>
      </c>
      <c r="N80" s="4">
        <f t="shared" si="9"/>
        <v>10201</v>
      </c>
      <c r="O80" s="4">
        <v>1</v>
      </c>
      <c r="P80" s="4">
        <v>0</v>
      </c>
      <c r="Q80" s="4">
        <v>1</v>
      </c>
      <c r="R80" s="7" t="str">
        <f>"&lt;color=#"&amp;VLOOKUP(E80,[1]品质主表!$B$6:$C$13,2,FALSE)&amp;"&gt;"&amp;C80&amp;"&lt;/color&gt;"</f>
        <v>&lt;color=#18e71a&gt;回春术&lt;/color&gt;</v>
      </c>
      <c r="S80" t="s">
        <v>852</v>
      </c>
    </row>
    <row r="81" spans="2:19" x14ac:dyDescent="0.3">
      <c r="B81" s="1">
        <v>10202</v>
      </c>
      <c r="C81" t="s">
        <v>82</v>
      </c>
      <c r="D81" t="s">
        <v>853</v>
      </c>
      <c r="E81" s="1">
        <v>2</v>
      </c>
      <c r="F81" s="4">
        <v>7</v>
      </c>
      <c r="G81" s="10">
        <v>5</v>
      </c>
      <c r="H81" s="10">
        <v>1</v>
      </c>
      <c r="I81" s="13"/>
      <c r="J81" s="13" t="s">
        <v>84</v>
      </c>
      <c r="K81" s="13"/>
      <c r="L81" s="4">
        <v>10203</v>
      </c>
      <c r="M81" s="4">
        <v>0</v>
      </c>
      <c r="N81" s="4">
        <f t="shared" si="9"/>
        <v>10202</v>
      </c>
      <c r="O81" s="4">
        <v>1</v>
      </c>
      <c r="P81" s="4">
        <v>0</v>
      </c>
      <c r="Q81" s="4">
        <v>1</v>
      </c>
      <c r="R81" s="7" t="str">
        <f>"&lt;color=#"&amp;VLOOKUP(E81,[1]品质主表!$B$6:$C$13,2,FALSE)&amp;"&gt;"&amp;C81&amp;"&lt;/color&gt;"</f>
        <v>&lt;color=#40f3ff&gt;回春术&lt;/color&gt;</v>
      </c>
      <c r="S81" t="s">
        <v>853</v>
      </c>
    </row>
    <row r="82" spans="2:19" x14ac:dyDescent="0.3">
      <c r="B82" s="1">
        <v>10203</v>
      </c>
      <c r="C82" t="s">
        <v>82</v>
      </c>
      <c r="D82" t="s">
        <v>854</v>
      </c>
      <c r="E82" s="1">
        <v>3</v>
      </c>
      <c r="F82" s="4">
        <v>7</v>
      </c>
      <c r="G82" s="10">
        <v>5</v>
      </c>
      <c r="H82" s="10">
        <v>1</v>
      </c>
      <c r="I82" s="13"/>
      <c r="J82" s="13" t="s">
        <v>85</v>
      </c>
      <c r="K82" s="13"/>
      <c r="L82" s="4">
        <v>10303</v>
      </c>
      <c r="M82" s="4">
        <v>0</v>
      </c>
      <c r="N82" s="4">
        <f t="shared" si="9"/>
        <v>10203</v>
      </c>
      <c r="O82" s="4">
        <v>1</v>
      </c>
      <c r="P82" s="4">
        <v>0</v>
      </c>
      <c r="Q82" s="4">
        <v>1</v>
      </c>
      <c r="R82" s="7" t="str">
        <f>"&lt;color=#"&amp;VLOOKUP(E82,[1]品质主表!$B$6:$C$13,2,FALSE)&amp;"&gt;"&amp;C82&amp;"&lt;/color&gt;"</f>
        <v>&lt;color=#f044dc&gt;回春术&lt;/color&gt;</v>
      </c>
      <c r="S82" t="s">
        <v>854</v>
      </c>
    </row>
    <row r="83" spans="2:19" x14ac:dyDescent="0.3">
      <c r="B83" s="1">
        <v>10204</v>
      </c>
      <c r="C83" t="s">
        <v>82</v>
      </c>
      <c r="D83" t="s">
        <v>855</v>
      </c>
      <c r="E83" s="1">
        <v>4</v>
      </c>
      <c r="F83" s="4">
        <v>7</v>
      </c>
      <c r="G83" s="10">
        <v>5</v>
      </c>
      <c r="H83" s="10">
        <v>1</v>
      </c>
      <c r="I83" s="13"/>
      <c r="J83" s="13" t="s">
        <v>86</v>
      </c>
      <c r="K83" s="13"/>
      <c r="L83" s="4">
        <v>10403</v>
      </c>
      <c r="M83" s="4">
        <v>0</v>
      </c>
      <c r="N83" s="4">
        <f t="shared" si="9"/>
        <v>10204</v>
      </c>
      <c r="O83" s="4">
        <v>1</v>
      </c>
      <c r="P83" s="4">
        <v>0</v>
      </c>
      <c r="Q83" s="4">
        <v>1</v>
      </c>
      <c r="R83" s="7" t="str">
        <f>"&lt;color=#"&amp;VLOOKUP(E83,[1]品质主表!$B$6:$C$13,2,FALSE)&amp;"&gt;"&amp;C83&amp;"&lt;/color&gt;"</f>
        <v>&lt;color=#edde00&gt;回春术&lt;/color&gt;</v>
      </c>
      <c r="S83" t="s">
        <v>855</v>
      </c>
    </row>
    <row r="84" spans="2:19" x14ac:dyDescent="0.3">
      <c r="B84" s="1">
        <v>10205</v>
      </c>
      <c r="C84" t="s">
        <v>82</v>
      </c>
      <c r="D84" t="s">
        <v>856</v>
      </c>
      <c r="E84" s="1">
        <v>5</v>
      </c>
      <c r="F84" s="4">
        <v>7</v>
      </c>
      <c r="G84" s="10">
        <v>5</v>
      </c>
      <c r="H84" s="10">
        <v>1</v>
      </c>
      <c r="I84" s="13"/>
      <c r="J84" s="13" t="s">
        <v>87</v>
      </c>
      <c r="K84" s="13"/>
      <c r="L84" s="4">
        <v>10503</v>
      </c>
      <c r="M84" s="4">
        <v>0</v>
      </c>
      <c r="N84" s="4">
        <f t="shared" si="9"/>
        <v>10205</v>
      </c>
      <c r="O84" s="4">
        <v>1</v>
      </c>
      <c r="P84" s="4">
        <v>0</v>
      </c>
      <c r="Q84" s="4">
        <v>1</v>
      </c>
      <c r="R84" s="7" t="str">
        <f>"&lt;color=#"&amp;VLOOKUP(E84,[1]品质主表!$B$6:$C$13,2,FALSE)&amp;"&gt;"&amp;C84&amp;"&lt;/color&gt;"</f>
        <v>&lt;color=#ff8000&gt;回春术&lt;/color&gt;</v>
      </c>
      <c r="S84" t="s">
        <v>856</v>
      </c>
    </row>
    <row r="85" spans="2:19" x14ac:dyDescent="0.3">
      <c r="B85" s="1">
        <v>10206</v>
      </c>
      <c r="C85" t="s">
        <v>82</v>
      </c>
      <c r="D85" t="s">
        <v>857</v>
      </c>
      <c r="E85" s="1">
        <v>6</v>
      </c>
      <c r="F85" s="4">
        <v>7</v>
      </c>
      <c r="G85" s="10">
        <v>5</v>
      </c>
      <c r="H85" s="10">
        <v>1</v>
      </c>
      <c r="I85" s="13"/>
      <c r="J85" s="13" t="s">
        <v>88</v>
      </c>
      <c r="K85" s="13"/>
      <c r="L85" s="4">
        <v>10603</v>
      </c>
      <c r="M85" s="4">
        <v>0</v>
      </c>
      <c r="N85" s="4">
        <f t="shared" si="9"/>
        <v>10206</v>
      </c>
      <c r="O85" s="4">
        <v>1</v>
      </c>
      <c r="P85" s="4">
        <v>0</v>
      </c>
      <c r="Q85" s="4">
        <v>1</v>
      </c>
      <c r="R85" s="7" t="str">
        <f>"&lt;color=#"&amp;VLOOKUP(E85,[1]品质主表!$B$6:$C$13,2,FALSE)&amp;"&gt;"&amp;C85&amp;"&lt;/color&gt;"</f>
        <v>&lt;color=#ff4d4d&gt;回春术&lt;/color&gt;</v>
      </c>
      <c r="S85" t="s">
        <v>857</v>
      </c>
    </row>
    <row r="86" spans="2:19" x14ac:dyDescent="0.3">
      <c r="B86" s="1">
        <v>10207</v>
      </c>
      <c r="C86" t="s">
        <v>82</v>
      </c>
      <c r="D86" t="s">
        <v>858</v>
      </c>
      <c r="E86" s="1">
        <v>7</v>
      </c>
      <c r="F86" s="4">
        <v>7</v>
      </c>
      <c r="G86" s="10">
        <v>5</v>
      </c>
      <c r="H86" s="10">
        <v>1</v>
      </c>
      <c r="I86" s="13"/>
      <c r="J86" s="13" t="s">
        <v>89</v>
      </c>
      <c r="K86" s="13"/>
      <c r="L86" s="4">
        <v>10703</v>
      </c>
      <c r="M86" s="4">
        <v>0</v>
      </c>
      <c r="N86" s="4">
        <f t="shared" si="9"/>
        <v>10207</v>
      </c>
      <c r="O86" s="4">
        <v>1</v>
      </c>
      <c r="P86" s="4">
        <v>0</v>
      </c>
      <c r="Q86" s="4">
        <v>1</v>
      </c>
      <c r="R86" s="7" t="str">
        <f>"&lt;color=#"&amp;VLOOKUP(E86,[1]品质主表!$B$6:$C$13,2,FALSE)&amp;"&gt;"&amp;C86&amp;"&lt;/color&gt;"</f>
        <v>&lt;color=#ff779d&gt;回春术&lt;/color&gt;</v>
      </c>
      <c r="S86" t="s">
        <v>858</v>
      </c>
    </row>
    <row r="87" spans="2:19" x14ac:dyDescent="0.3">
      <c r="B87" s="1">
        <v>10208</v>
      </c>
      <c r="C87" t="s">
        <v>859</v>
      </c>
      <c r="D87" t="s">
        <v>860</v>
      </c>
      <c r="E87" s="1">
        <v>7</v>
      </c>
      <c r="F87" s="4">
        <v>7</v>
      </c>
      <c r="G87" s="10">
        <v>5</v>
      </c>
      <c r="H87" s="10">
        <v>1</v>
      </c>
      <c r="I87" s="13"/>
      <c r="J87" s="13" t="s">
        <v>829</v>
      </c>
      <c r="K87" s="13"/>
      <c r="L87" s="4">
        <v>10803</v>
      </c>
      <c r="M87" s="4">
        <v>0</v>
      </c>
      <c r="N87" s="4">
        <f t="shared" si="9"/>
        <v>10208</v>
      </c>
      <c r="O87" s="4">
        <v>1</v>
      </c>
      <c r="P87" s="4">
        <v>0</v>
      </c>
      <c r="Q87" s="4">
        <v>1</v>
      </c>
      <c r="R87" s="7" t="str">
        <f>"&lt;color=#"&amp;VLOOKUP(E87,[1]品质主表!$B$6:$C$13,2,FALSE)&amp;"&gt;"&amp;C87&amp;"&lt;/color&gt;"</f>
        <v>&lt;color=#ff779d&gt;神·回春术&lt;/color&gt;</v>
      </c>
      <c r="S87" t="s">
        <v>860</v>
      </c>
    </row>
    <row r="88" spans="2:19" x14ac:dyDescent="0.3">
      <c r="B88" s="1">
        <v>10301</v>
      </c>
      <c r="C88" t="s">
        <v>90</v>
      </c>
      <c r="D88" t="s">
        <v>451</v>
      </c>
      <c r="E88" s="1">
        <v>1</v>
      </c>
      <c r="F88" s="4">
        <v>7</v>
      </c>
      <c r="G88" s="10">
        <v>5</v>
      </c>
      <c r="H88" s="10">
        <v>1</v>
      </c>
      <c r="I88" s="13"/>
      <c r="J88" s="13" t="s">
        <v>91</v>
      </c>
      <c r="K88" s="13"/>
      <c r="L88" s="4">
        <v>10104</v>
      </c>
      <c r="M88" s="4">
        <v>0</v>
      </c>
      <c r="N88" s="4">
        <f t="shared" si="9"/>
        <v>10301</v>
      </c>
      <c r="O88" s="4">
        <v>1</v>
      </c>
      <c r="P88" s="4">
        <v>0</v>
      </c>
      <c r="Q88" s="4">
        <v>1</v>
      </c>
      <c r="R88" s="7" t="str">
        <f>"&lt;color=#"&amp;VLOOKUP(E88,[1]品质主表!$B$6:$C$13,2,FALSE)&amp;"&gt;"&amp;C88&amp;"&lt;/color&gt;"</f>
        <v>&lt;color=#18e71a&gt;血魔功&lt;/color&gt;</v>
      </c>
      <c r="S88" t="s">
        <v>451</v>
      </c>
    </row>
    <row r="89" spans="2:19" x14ac:dyDescent="0.3">
      <c r="B89" s="1">
        <v>10302</v>
      </c>
      <c r="C89" t="s">
        <v>90</v>
      </c>
      <c r="D89" t="s">
        <v>452</v>
      </c>
      <c r="E89" s="1">
        <v>2</v>
      </c>
      <c r="F89" s="4">
        <v>7</v>
      </c>
      <c r="G89" s="10">
        <v>5</v>
      </c>
      <c r="H89" s="10">
        <v>1</v>
      </c>
      <c r="I89" s="13"/>
      <c r="J89" s="13" t="s">
        <v>92</v>
      </c>
      <c r="K89" s="13"/>
      <c r="L89" s="4">
        <v>10204</v>
      </c>
      <c r="M89" s="4">
        <v>0</v>
      </c>
      <c r="N89" s="4">
        <f t="shared" si="9"/>
        <v>10302</v>
      </c>
      <c r="O89" s="4">
        <v>1</v>
      </c>
      <c r="P89" s="4">
        <v>0</v>
      </c>
      <c r="Q89" s="4">
        <v>1</v>
      </c>
      <c r="R89" s="7" t="str">
        <f>"&lt;color=#"&amp;VLOOKUP(E89,[1]品质主表!$B$6:$C$13,2,FALSE)&amp;"&gt;"&amp;C89&amp;"&lt;/color&gt;"</f>
        <v>&lt;color=#40f3ff&gt;血魔功&lt;/color&gt;</v>
      </c>
      <c r="S89" t="s">
        <v>452</v>
      </c>
    </row>
    <row r="90" spans="2:19" x14ac:dyDescent="0.3">
      <c r="B90" s="1">
        <v>10303</v>
      </c>
      <c r="C90" t="s">
        <v>90</v>
      </c>
      <c r="D90" t="s">
        <v>453</v>
      </c>
      <c r="E90" s="1">
        <v>3</v>
      </c>
      <c r="F90" s="4">
        <v>7</v>
      </c>
      <c r="G90" s="10">
        <v>5</v>
      </c>
      <c r="H90" s="10">
        <v>1</v>
      </c>
      <c r="I90" s="13"/>
      <c r="J90" s="13" t="s">
        <v>93</v>
      </c>
      <c r="K90" s="13"/>
      <c r="L90" s="4">
        <v>10304</v>
      </c>
      <c r="M90" s="4">
        <v>0</v>
      </c>
      <c r="N90" s="4">
        <f t="shared" si="9"/>
        <v>10303</v>
      </c>
      <c r="O90" s="4">
        <v>1</v>
      </c>
      <c r="P90" s="4">
        <v>0</v>
      </c>
      <c r="Q90" s="4">
        <v>1</v>
      </c>
      <c r="R90" s="7" t="str">
        <f>"&lt;color=#"&amp;VLOOKUP(E90,[1]品质主表!$B$6:$C$13,2,FALSE)&amp;"&gt;"&amp;C90&amp;"&lt;/color&gt;"</f>
        <v>&lt;color=#f044dc&gt;血魔功&lt;/color&gt;</v>
      </c>
      <c r="S90" t="s">
        <v>453</v>
      </c>
    </row>
    <row r="91" spans="2:19" x14ac:dyDescent="0.3">
      <c r="B91" s="1">
        <v>10304</v>
      </c>
      <c r="C91" t="s">
        <v>90</v>
      </c>
      <c r="D91" t="s">
        <v>454</v>
      </c>
      <c r="E91" s="1">
        <v>4</v>
      </c>
      <c r="F91" s="4">
        <v>7</v>
      </c>
      <c r="G91" s="10">
        <v>5</v>
      </c>
      <c r="H91" s="10">
        <v>1</v>
      </c>
      <c r="I91" s="13"/>
      <c r="J91" s="13" t="s">
        <v>94</v>
      </c>
      <c r="K91" s="13"/>
      <c r="L91" s="4">
        <v>10404</v>
      </c>
      <c r="M91" s="4">
        <v>0</v>
      </c>
      <c r="N91" s="4">
        <f t="shared" si="9"/>
        <v>10304</v>
      </c>
      <c r="O91" s="4">
        <v>1</v>
      </c>
      <c r="P91" s="4">
        <v>0</v>
      </c>
      <c r="Q91" s="4">
        <v>1</v>
      </c>
      <c r="R91" s="7" t="str">
        <f>"&lt;color=#"&amp;VLOOKUP(E91,[1]品质主表!$B$6:$C$13,2,FALSE)&amp;"&gt;"&amp;C91&amp;"&lt;/color&gt;"</f>
        <v>&lt;color=#edde00&gt;血魔功&lt;/color&gt;</v>
      </c>
      <c r="S91" t="s">
        <v>454</v>
      </c>
    </row>
    <row r="92" spans="2:19" x14ac:dyDescent="0.3">
      <c r="B92" s="1">
        <v>10305</v>
      </c>
      <c r="C92" t="s">
        <v>90</v>
      </c>
      <c r="D92" t="s">
        <v>455</v>
      </c>
      <c r="E92" s="1">
        <v>5</v>
      </c>
      <c r="F92" s="4">
        <v>7</v>
      </c>
      <c r="G92" s="10">
        <v>5</v>
      </c>
      <c r="H92" s="10">
        <v>1</v>
      </c>
      <c r="I92" s="13"/>
      <c r="J92" s="13" t="s">
        <v>95</v>
      </c>
      <c r="K92" s="13"/>
      <c r="L92" s="4">
        <v>10504</v>
      </c>
      <c r="M92" s="4">
        <v>0</v>
      </c>
      <c r="N92" s="4">
        <f t="shared" si="9"/>
        <v>10305</v>
      </c>
      <c r="O92" s="4">
        <v>1</v>
      </c>
      <c r="P92" s="4">
        <v>0</v>
      </c>
      <c r="Q92" s="4">
        <v>1</v>
      </c>
      <c r="R92" s="7" t="str">
        <f>"&lt;color=#"&amp;VLOOKUP(E92,[1]品质主表!$B$6:$C$13,2,FALSE)&amp;"&gt;"&amp;C92&amp;"&lt;/color&gt;"</f>
        <v>&lt;color=#ff8000&gt;血魔功&lt;/color&gt;</v>
      </c>
      <c r="S92" t="s">
        <v>455</v>
      </c>
    </row>
    <row r="93" spans="2:19" x14ac:dyDescent="0.3">
      <c r="B93" s="1">
        <v>10306</v>
      </c>
      <c r="C93" t="s">
        <v>90</v>
      </c>
      <c r="D93" t="s">
        <v>456</v>
      </c>
      <c r="E93" s="1">
        <v>6</v>
      </c>
      <c r="F93" s="4">
        <v>7</v>
      </c>
      <c r="G93" s="10">
        <v>5</v>
      </c>
      <c r="H93" s="10">
        <v>1</v>
      </c>
      <c r="I93" s="13"/>
      <c r="J93" s="13" t="s">
        <v>96</v>
      </c>
      <c r="K93" s="13"/>
      <c r="L93" s="4">
        <v>10604</v>
      </c>
      <c r="M93" s="4">
        <v>0</v>
      </c>
      <c r="N93" s="4">
        <f t="shared" si="9"/>
        <v>10306</v>
      </c>
      <c r="O93" s="4">
        <v>1</v>
      </c>
      <c r="P93" s="4">
        <v>0</v>
      </c>
      <c r="Q93" s="4">
        <v>1</v>
      </c>
      <c r="R93" s="7" t="str">
        <f>"&lt;color=#"&amp;VLOOKUP(E93,[1]品质主表!$B$6:$C$13,2,FALSE)&amp;"&gt;"&amp;C93&amp;"&lt;/color&gt;"</f>
        <v>&lt;color=#ff4d4d&gt;血魔功&lt;/color&gt;</v>
      </c>
      <c r="S93" t="s">
        <v>456</v>
      </c>
    </row>
    <row r="94" spans="2:19" x14ac:dyDescent="0.3">
      <c r="B94" s="1">
        <v>10307</v>
      </c>
      <c r="C94" t="s">
        <v>90</v>
      </c>
      <c r="D94" t="s">
        <v>457</v>
      </c>
      <c r="E94" s="1">
        <v>7</v>
      </c>
      <c r="F94" s="4">
        <v>7</v>
      </c>
      <c r="G94" s="10">
        <v>5</v>
      </c>
      <c r="H94" s="10">
        <v>1</v>
      </c>
      <c r="I94" s="13"/>
      <c r="J94" s="13" t="s">
        <v>97</v>
      </c>
      <c r="K94" s="13"/>
      <c r="L94" s="4">
        <v>10704</v>
      </c>
      <c r="M94" s="4">
        <v>0</v>
      </c>
      <c r="N94" s="4">
        <f t="shared" si="9"/>
        <v>10307</v>
      </c>
      <c r="O94" s="4">
        <v>1</v>
      </c>
      <c r="P94" s="4">
        <v>0</v>
      </c>
      <c r="Q94" s="4">
        <v>1</v>
      </c>
      <c r="R94" s="7" t="str">
        <f>"&lt;color=#"&amp;VLOOKUP(E94,[1]品质主表!$B$6:$C$13,2,FALSE)&amp;"&gt;"&amp;C94&amp;"&lt;/color&gt;"</f>
        <v>&lt;color=#ff779d&gt;血魔功&lt;/color&gt;</v>
      </c>
      <c r="S94" t="s">
        <v>457</v>
      </c>
    </row>
    <row r="95" spans="2:19" x14ac:dyDescent="0.3">
      <c r="B95" s="1">
        <v>10308</v>
      </c>
      <c r="C95" t="s">
        <v>861</v>
      </c>
      <c r="D95" t="s">
        <v>862</v>
      </c>
      <c r="E95" s="1">
        <v>7</v>
      </c>
      <c r="F95" s="4">
        <v>7</v>
      </c>
      <c r="G95" s="10">
        <v>5</v>
      </c>
      <c r="H95" s="10">
        <v>1</v>
      </c>
      <c r="I95" s="13"/>
      <c r="J95" s="13" t="s">
        <v>830</v>
      </c>
      <c r="K95" s="13"/>
      <c r="L95" s="4">
        <v>10804</v>
      </c>
      <c r="M95" s="4">
        <v>0</v>
      </c>
      <c r="N95" s="4">
        <f t="shared" si="9"/>
        <v>10308</v>
      </c>
      <c r="O95" s="4">
        <v>1</v>
      </c>
      <c r="P95" s="4">
        <v>0</v>
      </c>
      <c r="Q95" s="4">
        <v>1</v>
      </c>
      <c r="R95" s="7" t="str">
        <f>"&lt;color=#"&amp;VLOOKUP(E95,[1]品质主表!$B$6:$C$13,2,FALSE)&amp;"&gt;"&amp;C95&amp;"&lt;/color&gt;"</f>
        <v>&lt;color=#ff779d&gt;神·血魔功&lt;/color&gt;</v>
      </c>
      <c r="S95" t="s">
        <v>862</v>
      </c>
    </row>
    <row r="96" spans="2:19" x14ac:dyDescent="0.3">
      <c r="B96" s="1">
        <v>10401</v>
      </c>
      <c r="C96" t="s">
        <v>98</v>
      </c>
      <c r="D96" t="s">
        <v>553</v>
      </c>
      <c r="E96" s="1">
        <v>1</v>
      </c>
      <c r="F96" s="4">
        <v>7</v>
      </c>
      <c r="G96" s="10">
        <v>5</v>
      </c>
      <c r="H96" s="10">
        <v>1</v>
      </c>
      <c r="I96" s="13"/>
      <c r="J96" s="13" t="s">
        <v>99</v>
      </c>
      <c r="K96" s="13"/>
      <c r="L96" s="4">
        <v>10105</v>
      </c>
      <c r="M96" s="4">
        <v>0</v>
      </c>
      <c r="N96" s="4">
        <f t="shared" ref="N96:N127" si="10">B96</f>
        <v>10401</v>
      </c>
      <c r="O96" s="4">
        <v>1</v>
      </c>
      <c r="P96" s="4">
        <v>0</v>
      </c>
      <c r="Q96" s="4">
        <v>1</v>
      </c>
      <c r="R96" s="7" t="str">
        <f>"&lt;color=#"&amp;VLOOKUP(E96,[1]品质主表!$B$6:$C$13,2,FALSE)&amp;"&gt;"&amp;C96&amp;"&lt;/color&gt;"</f>
        <v>&lt;color=#18e71a&gt;风刃裂空&lt;/color&gt;</v>
      </c>
      <c r="S96" t="s">
        <v>553</v>
      </c>
    </row>
    <row r="97" spans="2:19" x14ac:dyDescent="0.3">
      <c r="B97" s="1">
        <v>10402</v>
      </c>
      <c r="C97" t="s">
        <v>98</v>
      </c>
      <c r="D97" t="s">
        <v>554</v>
      </c>
      <c r="E97" s="1">
        <v>2</v>
      </c>
      <c r="F97" s="4">
        <v>7</v>
      </c>
      <c r="G97" s="10">
        <v>5</v>
      </c>
      <c r="H97" s="10">
        <v>1</v>
      </c>
      <c r="I97" s="13"/>
      <c r="J97" s="13" t="s">
        <v>100</v>
      </c>
      <c r="K97" s="13"/>
      <c r="L97" s="4">
        <v>10205</v>
      </c>
      <c r="M97" s="4">
        <v>0</v>
      </c>
      <c r="N97" s="4">
        <f t="shared" si="10"/>
        <v>10402</v>
      </c>
      <c r="O97" s="4">
        <v>1</v>
      </c>
      <c r="P97" s="4">
        <v>0</v>
      </c>
      <c r="Q97" s="4">
        <v>1</v>
      </c>
      <c r="R97" s="7" t="str">
        <f>"&lt;color=#"&amp;VLOOKUP(E97,[1]品质主表!$B$6:$C$13,2,FALSE)&amp;"&gt;"&amp;C97&amp;"&lt;/color&gt;"</f>
        <v>&lt;color=#40f3ff&gt;风刃裂空&lt;/color&gt;</v>
      </c>
      <c r="S97" t="s">
        <v>554</v>
      </c>
    </row>
    <row r="98" spans="2:19" x14ac:dyDescent="0.3">
      <c r="B98" s="1">
        <v>10403</v>
      </c>
      <c r="C98" t="s">
        <v>98</v>
      </c>
      <c r="D98" t="s">
        <v>555</v>
      </c>
      <c r="E98" s="1">
        <v>3</v>
      </c>
      <c r="F98" s="4">
        <v>7</v>
      </c>
      <c r="G98" s="10">
        <v>5</v>
      </c>
      <c r="H98" s="10">
        <v>1</v>
      </c>
      <c r="I98" s="13"/>
      <c r="J98" s="13" t="s">
        <v>101</v>
      </c>
      <c r="K98" s="13"/>
      <c r="L98" s="4">
        <v>10305</v>
      </c>
      <c r="M98" s="4">
        <v>0</v>
      </c>
      <c r="N98" s="4">
        <f t="shared" si="10"/>
        <v>10403</v>
      </c>
      <c r="O98" s="4">
        <v>1</v>
      </c>
      <c r="P98" s="4">
        <v>0</v>
      </c>
      <c r="Q98" s="4">
        <v>1</v>
      </c>
      <c r="R98" s="7" t="str">
        <f>"&lt;color=#"&amp;VLOOKUP(E98,[1]品质主表!$B$6:$C$13,2,FALSE)&amp;"&gt;"&amp;C98&amp;"&lt;/color&gt;"</f>
        <v>&lt;color=#f044dc&gt;风刃裂空&lt;/color&gt;</v>
      </c>
      <c r="S98" t="s">
        <v>555</v>
      </c>
    </row>
    <row r="99" spans="2:19" x14ac:dyDescent="0.3">
      <c r="B99" s="1">
        <v>10404</v>
      </c>
      <c r="C99" t="s">
        <v>98</v>
      </c>
      <c r="D99" t="s">
        <v>556</v>
      </c>
      <c r="E99" s="1">
        <v>4</v>
      </c>
      <c r="F99" s="4">
        <v>7</v>
      </c>
      <c r="G99" s="10">
        <v>5</v>
      </c>
      <c r="H99" s="10">
        <v>1</v>
      </c>
      <c r="I99" s="13"/>
      <c r="J99" s="13" t="s">
        <v>102</v>
      </c>
      <c r="K99" s="13"/>
      <c r="L99" s="4">
        <v>10405</v>
      </c>
      <c r="M99" s="4">
        <v>0</v>
      </c>
      <c r="N99" s="4">
        <f t="shared" si="10"/>
        <v>10404</v>
      </c>
      <c r="O99" s="4">
        <v>1</v>
      </c>
      <c r="P99" s="4">
        <v>0</v>
      </c>
      <c r="Q99" s="4">
        <v>1</v>
      </c>
      <c r="R99" s="7" t="str">
        <f>"&lt;color=#"&amp;VLOOKUP(E99,[1]品质主表!$B$6:$C$13,2,FALSE)&amp;"&gt;"&amp;C99&amp;"&lt;/color&gt;"</f>
        <v>&lt;color=#edde00&gt;风刃裂空&lt;/color&gt;</v>
      </c>
      <c r="S99" t="s">
        <v>556</v>
      </c>
    </row>
    <row r="100" spans="2:19" x14ac:dyDescent="0.3">
      <c r="B100" s="1">
        <v>10405</v>
      </c>
      <c r="C100" t="s">
        <v>98</v>
      </c>
      <c r="D100" t="s">
        <v>557</v>
      </c>
      <c r="E100" s="1">
        <v>5</v>
      </c>
      <c r="F100" s="4">
        <v>7</v>
      </c>
      <c r="G100" s="10">
        <v>5</v>
      </c>
      <c r="H100" s="10">
        <v>1</v>
      </c>
      <c r="I100" s="13"/>
      <c r="J100" s="13" t="s">
        <v>103</v>
      </c>
      <c r="K100" s="13"/>
      <c r="L100" s="4">
        <v>10505</v>
      </c>
      <c r="M100" s="4">
        <v>0</v>
      </c>
      <c r="N100" s="4">
        <f t="shared" si="10"/>
        <v>10405</v>
      </c>
      <c r="O100" s="4">
        <v>1</v>
      </c>
      <c r="P100" s="4">
        <v>0</v>
      </c>
      <c r="Q100" s="4">
        <v>1</v>
      </c>
      <c r="R100" s="7" t="str">
        <f>"&lt;color=#"&amp;VLOOKUP(E100,[1]品质主表!$B$6:$C$13,2,FALSE)&amp;"&gt;"&amp;C100&amp;"&lt;/color&gt;"</f>
        <v>&lt;color=#ff8000&gt;风刃裂空&lt;/color&gt;</v>
      </c>
      <c r="S100" t="s">
        <v>557</v>
      </c>
    </row>
    <row r="101" spans="2:19" x14ac:dyDescent="0.3">
      <c r="B101" s="1">
        <v>10406</v>
      </c>
      <c r="C101" t="s">
        <v>98</v>
      </c>
      <c r="D101" t="s">
        <v>558</v>
      </c>
      <c r="E101" s="1">
        <v>6</v>
      </c>
      <c r="F101" s="4">
        <v>7</v>
      </c>
      <c r="G101" s="10">
        <v>5</v>
      </c>
      <c r="H101" s="10">
        <v>1</v>
      </c>
      <c r="I101" s="13"/>
      <c r="J101" s="13" t="s">
        <v>104</v>
      </c>
      <c r="K101" s="13"/>
      <c r="L101" s="4">
        <v>10605</v>
      </c>
      <c r="M101" s="4">
        <v>0</v>
      </c>
      <c r="N101" s="4">
        <f t="shared" si="10"/>
        <v>10406</v>
      </c>
      <c r="O101" s="4">
        <v>1</v>
      </c>
      <c r="P101" s="4">
        <v>0</v>
      </c>
      <c r="Q101" s="4">
        <v>1</v>
      </c>
      <c r="R101" s="7" t="str">
        <f>"&lt;color=#"&amp;VLOOKUP(E101,[1]品质主表!$B$6:$C$13,2,FALSE)&amp;"&gt;"&amp;C101&amp;"&lt;/color&gt;"</f>
        <v>&lt;color=#ff4d4d&gt;风刃裂空&lt;/color&gt;</v>
      </c>
      <c r="S101" t="s">
        <v>558</v>
      </c>
    </row>
    <row r="102" spans="2:19" x14ac:dyDescent="0.3">
      <c r="B102" s="1">
        <v>10407</v>
      </c>
      <c r="C102" t="s">
        <v>98</v>
      </c>
      <c r="D102" t="s">
        <v>559</v>
      </c>
      <c r="E102" s="1">
        <v>7</v>
      </c>
      <c r="F102" s="4">
        <v>7</v>
      </c>
      <c r="G102" s="10">
        <v>5</v>
      </c>
      <c r="H102" s="10">
        <v>1</v>
      </c>
      <c r="I102" s="13"/>
      <c r="J102" s="13" t="s">
        <v>105</v>
      </c>
      <c r="K102" s="13"/>
      <c r="L102" s="4">
        <v>10705</v>
      </c>
      <c r="M102" s="4">
        <v>0</v>
      </c>
      <c r="N102" s="4">
        <f t="shared" si="10"/>
        <v>10407</v>
      </c>
      <c r="O102" s="4">
        <v>1</v>
      </c>
      <c r="P102" s="4">
        <v>0</v>
      </c>
      <c r="Q102" s="4">
        <v>1</v>
      </c>
      <c r="R102" s="7" t="str">
        <f>"&lt;color=#"&amp;VLOOKUP(E102,[1]品质主表!$B$6:$C$13,2,FALSE)&amp;"&gt;"&amp;C102&amp;"&lt;/color&gt;"</f>
        <v>&lt;color=#ff779d&gt;风刃裂空&lt;/color&gt;</v>
      </c>
      <c r="S102" t="s">
        <v>559</v>
      </c>
    </row>
    <row r="103" spans="2:19" x14ac:dyDescent="0.3">
      <c r="B103" s="1">
        <v>10408</v>
      </c>
      <c r="C103" t="s">
        <v>863</v>
      </c>
      <c r="D103" t="s">
        <v>864</v>
      </c>
      <c r="E103" s="1">
        <v>7</v>
      </c>
      <c r="F103" s="4">
        <v>7</v>
      </c>
      <c r="G103" s="10">
        <v>5</v>
      </c>
      <c r="H103" s="10">
        <v>1</v>
      </c>
      <c r="I103" s="13"/>
      <c r="J103" s="13" t="s">
        <v>831</v>
      </c>
      <c r="K103" s="13"/>
      <c r="L103" s="4">
        <v>10805</v>
      </c>
      <c r="M103" s="4">
        <v>0</v>
      </c>
      <c r="N103" s="4">
        <f t="shared" si="10"/>
        <v>10408</v>
      </c>
      <c r="O103" s="4">
        <v>1</v>
      </c>
      <c r="P103" s="4">
        <v>0</v>
      </c>
      <c r="Q103" s="4">
        <v>1</v>
      </c>
      <c r="R103" s="7" t="str">
        <f>"&lt;color=#"&amp;VLOOKUP(E103,[1]品质主表!$B$6:$C$13,2,FALSE)&amp;"&gt;"&amp;C103&amp;"&lt;/color&gt;"</f>
        <v>&lt;color=#ff779d&gt;神·风刃裂空&lt;/color&gt;</v>
      </c>
      <c r="S103" t="s">
        <v>864</v>
      </c>
    </row>
    <row r="104" spans="2:19" x14ac:dyDescent="0.3">
      <c r="B104" s="1">
        <v>10501</v>
      </c>
      <c r="C104" t="s">
        <v>106</v>
      </c>
      <c r="D104" t="s">
        <v>560</v>
      </c>
      <c r="E104" s="1">
        <v>1</v>
      </c>
      <c r="F104" s="4">
        <v>7</v>
      </c>
      <c r="G104" s="10">
        <v>5</v>
      </c>
      <c r="H104" s="10">
        <v>1</v>
      </c>
      <c r="I104" s="13"/>
      <c r="J104" s="13" t="s">
        <v>107</v>
      </c>
      <c r="K104" s="13"/>
      <c r="L104" s="4">
        <v>10106</v>
      </c>
      <c r="M104" s="4">
        <v>0</v>
      </c>
      <c r="N104" s="4">
        <f t="shared" si="10"/>
        <v>10501</v>
      </c>
      <c r="O104" s="4">
        <v>1</v>
      </c>
      <c r="P104" s="4">
        <v>0</v>
      </c>
      <c r="Q104" s="4">
        <v>1</v>
      </c>
      <c r="R104" s="7" t="str">
        <f>"&lt;color=#"&amp;VLOOKUP(E104,[1]品质主表!$B$6:$C$13,2,FALSE)&amp;"&gt;"&amp;C104&amp;"&lt;/color&gt;"</f>
        <v>&lt;color=#18e71a&gt;地脉之力&lt;/color&gt;</v>
      </c>
      <c r="S104" t="s">
        <v>560</v>
      </c>
    </row>
    <row r="105" spans="2:19" x14ac:dyDescent="0.3">
      <c r="B105" s="1">
        <v>10502</v>
      </c>
      <c r="C105" t="s">
        <v>106</v>
      </c>
      <c r="D105" t="s">
        <v>561</v>
      </c>
      <c r="E105" s="1">
        <v>2</v>
      </c>
      <c r="F105" s="4">
        <v>7</v>
      </c>
      <c r="G105" s="10">
        <v>5</v>
      </c>
      <c r="H105" s="10">
        <v>1</v>
      </c>
      <c r="I105" s="13"/>
      <c r="J105" s="13" t="s">
        <v>108</v>
      </c>
      <c r="K105" s="13"/>
      <c r="L105" s="4">
        <v>10206</v>
      </c>
      <c r="M105" s="4">
        <v>0</v>
      </c>
      <c r="N105" s="4">
        <f t="shared" si="10"/>
        <v>10502</v>
      </c>
      <c r="O105" s="4">
        <v>1</v>
      </c>
      <c r="P105" s="4">
        <v>0</v>
      </c>
      <c r="Q105" s="4">
        <v>1</v>
      </c>
      <c r="R105" s="7" t="str">
        <f>"&lt;color=#"&amp;VLOOKUP(E105,[1]品质主表!$B$6:$C$13,2,FALSE)&amp;"&gt;"&amp;C105&amp;"&lt;/color&gt;"</f>
        <v>&lt;color=#40f3ff&gt;地脉之力&lt;/color&gt;</v>
      </c>
      <c r="S105" t="s">
        <v>561</v>
      </c>
    </row>
    <row r="106" spans="2:19" x14ac:dyDescent="0.3">
      <c r="B106" s="1">
        <v>10503</v>
      </c>
      <c r="C106" t="s">
        <v>106</v>
      </c>
      <c r="D106" t="s">
        <v>562</v>
      </c>
      <c r="E106" s="1">
        <v>3</v>
      </c>
      <c r="F106" s="4">
        <v>7</v>
      </c>
      <c r="G106" s="10">
        <v>5</v>
      </c>
      <c r="H106" s="10">
        <v>1</v>
      </c>
      <c r="I106" s="13"/>
      <c r="J106" s="13" t="s">
        <v>109</v>
      </c>
      <c r="K106" s="13"/>
      <c r="L106" s="4">
        <v>10306</v>
      </c>
      <c r="M106" s="4">
        <v>0</v>
      </c>
      <c r="N106" s="4">
        <f t="shared" si="10"/>
        <v>10503</v>
      </c>
      <c r="O106" s="4">
        <v>1</v>
      </c>
      <c r="P106" s="4">
        <v>0</v>
      </c>
      <c r="Q106" s="4">
        <v>1</v>
      </c>
      <c r="R106" s="7" t="str">
        <f>"&lt;color=#"&amp;VLOOKUP(E106,[1]品质主表!$B$6:$C$13,2,FALSE)&amp;"&gt;"&amp;C106&amp;"&lt;/color&gt;"</f>
        <v>&lt;color=#f044dc&gt;地脉之力&lt;/color&gt;</v>
      </c>
      <c r="S106" t="s">
        <v>562</v>
      </c>
    </row>
    <row r="107" spans="2:19" x14ac:dyDescent="0.3">
      <c r="B107" s="1">
        <v>10504</v>
      </c>
      <c r="C107" t="s">
        <v>106</v>
      </c>
      <c r="D107" t="s">
        <v>563</v>
      </c>
      <c r="E107" s="1">
        <v>4</v>
      </c>
      <c r="F107" s="4">
        <v>7</v>
      </c>
      <c r="G107" s="10">
        <v>5</v>
      </c>
      <c r="H107" s="10">
        <v>1</v>
      </c>
      <c r="I107" s="13"/>
      <c r="J107" s="13" t="s">
        <v>110</v>
      </c>
      <c r="K107" s="13"/>
      <c r="L107" s="4">
        <v>10406</v>
      </c>
      <c r="M107" s="4">
        <v>0</v>
      </c>
      <c r="N107" s="4">
        <f t="shared" si="10"/>
        <v>10504</v>
      </c>
      <c r="O107" s="4">
        <v>1</v>
      </c>
      <c r="P107" s="4">
        <v>0</v>
      </c>
      <c r="Q107" s="4">
        <v>1</v>
      </c>
      <c r="R107" s="7" t="str">
        <f>"&lt;color=#"&amp;VLOOKUP(E107,[1]品质主表!$B$6:$C$13,2,FALSE)&amp;"&gt;"&amp;C107&amp;"&lt;/color&gt;"</f>
        <v>&lt;color=#edde00&gt;地脉之力&lt;/color&gt;</v>
      </c>
      <c r="S107" t="s">
        <v>563</v>
      </c>
    </row>
    <row r="108" spans="2:19" x14ac:dyDescent="0.3">
      <c r="B108" s="1">
        <v>10505</v>
      </c>
      <c r="C108" t="s">
        <v>106</v>
      </c>
      <c r="D108" t="s">
        <v>564</v>
      </c>
      <c r="E108" s="1">
        <v>5</v>
      </c>
      <c r="F108" s="4">
        <v>7</v>
      </c>
      <c r="G108" s="10">
        <v>5</v>
      </c>
      <c r="H108" s="10">
        <v>1</v>
      </c>
      <c r="I108" s="13"/>
      <c r="J108" s="13" t="s">
        <v>111</v>
      </c>
      <c r="K108" s="13"/>
      <c r="L108" s="4">
        <v>10506</v>
      </c>
      <c r="M108" s="4">
        <v>0</v>
      </c>
      <c r="N108" s="4">
        <f t="shared" si="10"/>
        <v>10505</v>
      </c>
      <c r="O108" s="4">
        <v>1</v>
      </c>
      <c r="P108" s="4">
        <v>0</v>
      </c>
      <c r="Q108" s="4">
        <v>1</v>
      </c>
      <c r="R108" s="7" t="str">
        <f>"&lt;color=#"&amp;VLOOKUP(E108,[1]品质主表!$B$6:$C$13,2,FALSE)&amp;"&gt;"&amp;C108&amp;"&lt;/color&gt;"</f>
        <v>&lt;color=#ff8000&gt;地脉之力&lt;/color&gt;</v>
      </c>
      <c r="S108" t="s">
        <v>564</v>
      </c>
    </row>
    <row r="109" spans="2:19" x14ac:dyDescent="0.3">
      <c r="B109" s="1">
        <v>10506</v>
      </c>
      <c r="C109" t="s">
        <v>106</v>
      </c>
      <c r="D109" t="s">
        <v>565</v>
      </c>
      <c r="E109" s="1">
        <v>6</v>
      </c>
      <c r="F109" s="4">
        <v>7</v>
      </c>
      <c r="G109" s="10">
        <v>5</v>
      </c>
      <c r="H109" s="10">
        <v>1</v>
      </c>
      <c r="I109" s="13"/>
      <c r="J109" s="13" t="s">
        <v>112</v>
      </c>
      <c r="K109" s="13"/>
      <c r="L109" s="4">
        <v>10606</v>
      </c>
      <c r="M109" s="4">
        <v>0</v>
      </c>
      <c r="N109" s="4">
        <f t="shared" si="10"/>
        <v>10506</v>
      </c>
      <c r="O109" s="4">
        <v>1</v>
      </c>
      <c r="P109" s="4">
        <v>0</v>
      </c>
      <c r="Q109" s="4">
        <v>1</v>
      </c>
      <c r="R109" s="7" t="str">
        <f>"&lt;color=#"&amp;VLOOKUP(E109,[1]品质主表!$B$6:$C$13,2,FALSE)&amp;"&gt;"&amp;C109&amp;"&lt;/color&gt;"</f>
        <v>&lt;color=#ff4d4d&gt;地脉之力&lt;/color&gt;</v>
      </c>
      <c r="S109" t="s">
        <v>565</v>
      </c>
    </row>
    <row r="110" spans="2:19" x14ac:dyDescent="0.3">
      <c r="B110" s="1">
        <v>10507</v>
      </c>
      <c r="C110" t="s">
        <v>106</v>
      </c>
      <c r="D110" t="s">
        <v>566</v>
      </c>
      <c r="E110" s="1">
        <v>7</v>
      </c>
      <c r="F110" s="4">
        <v>7</v>
      </c>
      <c r="G110" s="10">
        <v>5</v>
      </c>
      <c r="H110" s="10">
        <v>1</v>
      </c>
      <c r="I110" s="13"/>
      <c r="J110" s="13" t="s">
        <v>113</v>
      </c>
      <c r="K110" s="13"/>
      <c r="L110" s="4">
        <v>10706</v>
      </c>
      <c r="M110" s="4">
        <v>0</v>
      </c>
      <c r="N110" s="4">
        <f t="shared" si="10"/>
        <v>10507</v>
      </c>
      <c r="O110" s="4">
        <v>1</v>
      </c>
      <c r="P110" s="4">
        <v>0</v>
      </c>
      <c r="Q110" s="4">
        <v>1</v>
      </c>
      <c r="R110" s="7" t="str">
        <f>"&lt;color=#"&amp;VLOOKUP(E110,[1]品质主表!$B$6:$C$13,2,FALSE)&amp;"&gt;"&amp;C110&amp;"&lt;/color&gt;"</f>
        <v>&lt;color=#ff779d&gt;地脉之力&lt;/color&gt;</v>
      </c>
      <c r="S110" t="s">
        <v>566</v>
      </c>
    </row>
    <row r="111" spans="2:19" x14ac:dyDescent="0.3">
      <c r="B111" s="1">
        <v>10508</v>
      </c>
      <c r="C111" t="s">
        <v>865</v>
      </c>
      <c r="D111" t="s">
        <v>866</v>
      </c>
      <c r="E111" s="1">
        <v>7</v>
      </c>
      <c r="F111" s="4">
        <v>7</v>
      </c>
      <c r="G111" s="10">
        <v>5</v>
      </c>
      <c r="H111" s="10">
        <v>1</v>
      </c>
      <c r="I111" s="13"/>
      <c r="J111" s="13" t="s">
        <v>832</v>
      </c>
      <c r="K111" s="13"/>
      <c r="L111" s="4">
        <v>10806</v>
      </c>
      <c r="M111" s="4">
        <v>0</v>
      </c>
      <c r="N111" s="4">
        <f t="shared" si="10"/>
        <v>10508</v>
      </c>
      <c r="O111" s="4">
        <v>1</v>
      </c>
      <c r="P111" s="4">
        <v>0</v>
      </c>
      <c r="Q111" s="4">
        <v>1</v>
      </c>
      <c r="R111" s="7" t="str">
        <f>"&lt;color=#"&amp;VLOOKUP(E111,[1]品质主表!$B$6:$C$13,2,FALSE)&amp;"&gt;"&amp;C111&amp;"&lt;/color&gt;"</f>
        <v>&lt;color=#ff779d&gt;神·地脉之力&lt;/color&gt;</v>
      </c>
      <c r="S111" t="s">
        <v>866</v>
      </c>
    </row>
    <row r="112" spans="2:19" x14ac:dyDescent="0.3">
      <c r="B112" s="1">
        <v>10601</v>
      </c>
      <c r="C112" t="s">
        <v>114</v>
      </c>
      <c r="D112" t="s">
        <v>567</v>
      </c>
      <c r="E112" s="1">
        <v>1</v>
      </c>
      <c r="F112" s="4">
        <v>7</v>
      </c>
      <c r="G112" s="10">
        <v>5</v>
      </c>
      <c r="H112" s="10">
        <v>1</v>
      </c>
      <c r="I112" s="13"/>
      <c r="J112" s="13" t="s">
        <v>115</v>
      </c>
      <c r="K112" s="13"/>
      <c r="L112" s="4">
        <v>10107</v>
      </c>
      <c r="M112" s="4">
        <v>0</v>
      </c>
      <c r="N112" s="4">
        <f t="shared" si="10"/>
        <v>10601</v>
      </c>
      <c r="O112" s="4">
        <v>1</v>
      </c>
      <c r="P112" s="4">
        <v>0</v>
      </c>
      <c r="Q112" s="4">
        <v>1</v>
      </c>
      <c r="R112" s="7" t="str">
        <f>"&lt;color=#"&amp;VLOOKUP(E112,[1]品质主表!$B$6:$C$13,2,FALSE)&amp;"&gt;"&amp;C112&amp;"&lt;/color&gt;"</f>
        <v>&lt;color=#18e71a&gt;寒冰破浪&lt;/color&gt;</v>
      </c>
      <c r="S112" t="s">
        <v>567</v>
      </c>
    </row>
    <row r="113" spans="2:19" x14ac:dyDescent="0.3">
      <c r="B113" s="1">
        <v>10602</v>
      </c>
      <c r="C113" t="s">
        <v>114</v>
      </c>
      <c r="D113" t="s">
        <v>568</v>
      </c>
      <c r="E113" s="1">
        <v>2</v>
      </c>
      <c r="F113" s="4">
        <v>7</v>
      </c>
      <c r="G113" s="10">
        <v>5</v>
      </c>
      <c r="H113" s="10">
        <v>1</v>
      </c>
      <c r="I113" s="13"/>
      <c r="J113" s="13" t="s">
        <v>116</v>
      </c>
      <c r="K113" s="13"/>
      <c r="L113" s="4">
        <v>10207</v>
      </c>
      <c r="M113" s="4">
        <v>0</v>
      </c>
      <c r="N113" s="4">
        <f t="shared" si="10"/>
        <v>10602</v>
      </c>
      <c r="O113" s="4">
        <v>1</v>
      </c>
      <c r="P113" s="4">
        <v>0</v>
      </c>
      <c r="Q113" s="4">
        <v>1</v>
      </c>
      <c r="R113" s="7" t="str">
        <f>"&lt;color=#"&amp;VLOOKUP(E113,[1]品质主表!$B$6:$C$13,2,FALSE)&amp;"&gt;"&amp;C113&amp;"&lt;/color&gt;"</f>
        <v>&lt;color=#40f3ff&gt;寒冰破浪&lt;/color&gt;</v>
      </c>
      <c r="S113" t="s">
        <v>568</v>
      </c>
    </row>
    <row r="114" spans="2:19" x14ac:dyDescent="0.3">
      <c r="B114" s="1">
        <v>10603</v>
      </c>
      <c r="C114" t="s">
        <v>114</v>
      </c>
      <c r="D114" t="s">
        <v>569</v>
      </c>
      <c r="E114" s="1">
        <v>3</v>
      </c>
      <c r="F114" s="4">
        <v>7</v>
      </c>
      <c r="G114" s="10">
        <v>5</v>
      </c>
      <c r="H114" s="10">
        <v>1</v>
      </c>
      <c r="I114" s="13"/>
      <c r="J114" s="13" t="s">
        <v>117</v>
      </c>
      <c r="K114" s="13"/>
      <c r="L114" s="4">
        <v>10307</v>
      </c>
      <c r="M114" s="4">
        <v>0</v>
      </c>
      <c r="N114" s="4">
        <f t="shared" si="10"/>
        <v>10603</v>
      </c>
      <c r="O114" s="4">
        <v>1</v>
      </c>
      <c r="P114" s="4">
        <v>0</v>
      </c>
      <c r="Q114" s="4">
        <v>1</v>
      </c>
      <c r="R114" s="7" t="str">
        <f>"&lt;color=#"&amp;VLOOKUP(E114,[1]品质主表!$B$6:$C$13,2,FALSE)&amp;"&gt;"&amp;C114&amp;"&lt;/color&gt;"</f>
        <v>&lt;color=#f044dc&gt;寒冰破浪&lt;/color&gt;</v>
      </c>
      <c r="S114" t="s">
        <v>569</v>
      </c>
    </row>
    <row r="115" spans="2:19" x14ac:dyDescent="0.3">
      <c r="B115" s="1">
        <v>10604</v>
      </c>
      <c r="C115" t="s">
        <v>114</v>
      </c>
      <c r="D115" t="s">
        <v>570</v>
      </c>
      <c r="E115" s="1">
        <v>4</v>
      </c>
      <c r="F115" s="4">
        <v>7</v>
      </c>
      <c r="G115" s="10">
        <v>5</v>
      </c>
      <c r="H115" s="10">
        <v>1</v>
      </c>
      <c r="I115" s="13"/>
      <c r="J115" s="13" t="s">
        <v>118</v>
      </c>
      <c r="K115" s="13"/>
      <c r="L115" s="4">
        <v>10407</v>
      </c>
      <c r="M115" s="4">
        <v>0</v>
      </c>
      <c r="N115" s="4">
        <f t="shared" si="10"/>
        <v>10604</v>
      </c>
      <c r="O115" s="4">
        <v>1</v>
      </c>
      <c r="P115" s="4">
        <v>0</v>
      </c>
      <c r="Q115" s="4">
        <v>1</v>
      </c>
      <c r="R115" s="7" t="str">
        <f>"&lt;color=#"&amp;VLOOKUP(E115,[1]品质主表!$B$6:$C$13,2,FALSE)&amp;"&gt;"&amp;C115&amp;"&lt;/color&gt;"</f>
        <v>&lt;color=#edde00&gt;寒冰破浪&lt;/color&gt;</v>
      </c>
      <c r="S115" t="s">
        <v>570</v>
      </c>
    </row>
    <row r="116" spans="2:19" x14ac:dyDescent="0.3">
      <c r="B116" s="1">
        <v>10605</v>
      </c>
      <c r="C116" t="s">
        <v>114</v>
      </c>
      <c r="D116" t="s">
        <v>571</v>
      </c>
      <c r="E116" s="1">
        <v>5</v>
      </c>
      <c r="F116" s="4">
        <v>7</v>
      </c>
      <c r="G116" s="10">
        <v>5</v>
      </c>
      <c r="H116" s="10">
        <v>1</v>
      </c>
      <c r="I116" s="13"/>
      <c r="J116" s="13" t="s">
        <v>119</v>
      </c>
      <c r="K116" s="13"/>
      <c r="L116" s="4">
        <v>10507</v>
      </c>
      <c r="M116" s="4">
        <v>0</v>
      </c>
      <c r="N116" s="4">
        <f t="shared" si="10"/>
        <v>10605</v>
      </c>
      <c r="O116" s="4">
        <v>1</v>
      </c>
      <c r="P116" s="4">
        <v>0</v>
      </c>
      <c r="Q116" s="4">
        <v>1</v>
      </c>
      <c r="R116" s="7" t="str">
        <f>"&lt;color=#"&amp;VLOOKUP(E116,[1]品质主表!$B$6:$C$13,2,FALSE)&amp;"&gt;"&amp;C116&amp;"&lt;/color&gt;"</f>
        <v>&lt;color=#ff8000&gt;寒冰破浪&lt;/color&gt;</v>
      </c>
      <c r="S116" t="s">
        <v>571</v>
      </c>
    </row>
    <row r="117" spans="2:19" x14ac:dyDescent="0.3">
      <c r="B117" s="1">
        <v>10606</v>
      </c>
      <c r="C117" t="s">
        <v>114</v>
      </c>
      <c r="D117" t="s">
        <v>572</v>
      </c>
      <c r="E117" s="1">
        <v>6</v>
      </c>
      <c r="F117" s="4">
        <v>7</v>
      </c>
      <c r="G117" s="10">
        <v>5</v>
      </c>
      <c r="H117" s="10">
        <v>1</v>
      </c>
      <c r="I117" s="13"/>
      <c r="J117" s="13" t="s">
        <v>120</v>
      </c>
      <c r="K117" s="13"/>
      <c r="L117" s="4">
        <v>10607</v>
      </c>
      <c r="M117" s="4">
        <v>0</v>
      </c>
      <c r="N117" s="4">
        <f t="shared" si="10"/>
        <v>10606</v>
      </c>
      <c r="O117" s="4">
        <v>1</v>
      </c>
      <c r="P117" s="4">
        <v>0</v>
      </c>
      <c r="Q117" s="4">
        <v>1</v>
      </c>
      <c r="R117" s="7" t="str">
        <f>"&lt;color=#"&amp;VLOOKUP(E117,[1]品质主表!$B$6:$C$13,2,FALSE)&amp;"&gt;"&amp;C117&amp;"&lt;/color&gt;"</f>
        <v>&lt;color=#ff4d4d&gt;寒冰破浪&lt;/color&gt;</v>
      </c>
      <c r="S117" t="s">
        <v>572</v>
      </c>
    </row>
    <row r="118" spans="2:19" x14ac:dyDescent="0.3">
      <c r="B118" s="1">
        <v>10607</v>
      </c>
      <c r="C118" t="s">
        <v>114</v>
      </c>
      <c r="D118" t="s">
        <v>573</v>
      </c>
      <c r="E118" s="1">
        <v>7</v>
      </c>
      <c r="F118" s="4">
        <v>7</v>
      </c>
      <c r="G118" s="10">
        <v>5</v>
      </c>
      <c r="H118" s="10">
        <v>1</v>
      </c>
      <c r="I118" s="13"/>
      <c r="J118" s="13" t="s">
        <v>121</v>
      </c>
      <c r="K118" s="13"/>
      <c r="L118" s="4">
        <v>10707</v>
      </c>
      <c r="M118" s="4">
        <v>0</v>
      </c>
      <c r="N118" s="4">
        <f t="shared" si="10"/>
        <v>10607</v>
      </c>
      <c r="O118" s="4">
        <v>1</v>
      </c>
      <c r="P118" s="4">
        <v>0</v>
      </c>
      <c r="Q118" s="4">
        <v>1</v>
      </c>
      <c r="R118" s="7" t="str">
        <f>"&lt;color=#"&amp;VLOOKUP(E118,[1]品质主表!$B$6:$C$13,2,FALSE)&amp;"&gt;"&amp;C118&amp;"&lt;/color&gt;"</f>
        <v>&lt;color=#ff779d&gt;寒冰破浪&lt;/color&gt;</v>
      </c>
      <c r="S118" t="s">
        <v>573</v>
      </c>
    </row>
    <row r="119" spans="2:19" x14ac:dyDescent="0.3">
      <c r="B119" s="1">
        <v>10608</v>
      </c>
      <c r="C119" t="s">
        <v>867</v>
      </c>
      <c r="D119" t="s">
        <v>868</v>
      </c>
      <c r="E119" s="1">
        <v>7</v>
      </c>
      <c r="F119" s="4">
        <v>7</v>
      </c>
      <c r="G119" s="10">
        <v>5</v>
      </c>
      <c r="H119" s="10">
        <v>1</v>
      </c>
      <c r="I119" s="13"/>
      <c r="J119" s="13" t="s">
        <v>833</v>
      </c>
      <c r="K119" s="13"/>
      <c r="L119" s="4">
        <v>10807</v>
      </c>
      <c r="M119" s="4">
        <v>0</v>
      </c>
      <c r="N119" s="4">
        <f t="shared" si="10"/>
        <v>10608</v>
      </c>
      <c r="O119" s="4">
        <v>1</v>
      </c>
      <c r="P119" s="4">
        <v>0</v>
      </c>
      <c r="Q119" s="4">
        <v>1</v>
      </c>
      <c r="R119" s="7" t="str">
        <f>"&lt;color=#"&amp;VLOOKUP(E119,[1]品质主表!$B$6:$C$13,2,FALSE)&amp;"&gt;"&amp;C119&amp;"&lt;/color&gt;"</f>
        <v>&lt;color=#ff779d&gt;神·寒冰破浪&lt;/color&gt;</v>
      </c>
      <c r="S119" t="s">
        <v>868</v>
      </c>
    </row>
    <row r="120" spans="2:19" x14ac:dyDescent="0.3">
      <c r="B120" s="1">
        <v>10701</v>
      </c>
      <c r="C120" t="s">
        <v>122</v>
      </c>
      <c r="D120" t="s">
        <v>574</v>
      </c>
      <c r="E120" s="1">
        <v>1</v>
      </c>
      <c r="F120" s="4">
        <v>7</v>
      </c>
      <c r="G120" s="10">
        <v>5</v>
      </c>
      <c r="H120" s="10">
        <v>1</v>
      </c>
      <c r="I120" s="13"/>
      <c r="J120" s="13" t="s">
        <v>123</v>
      </c>
      <c r="K120" s="13"/>
      <c r="L120" s="4">
        <v>10108</v>
      </c>
      <c r="M120" s="4">
        <v>0</v>
      </c>
      <c r="N120" s="4">
        <f t="shared" si="10"/>
        <v>10701</v>
      </c>
      <c r="O120" s="4">
        <v>1</v>
      </c>
      <c r="P120" s="4">
        <v>0</v>
      </c>
      <c r="Q120" s="4">
        <v>1</v>
      </c>
      <c r="R120" s="7" t="str">
        <f>"&lt;color=#"&amp;VLOOKUP(E120,[1]品质主表!$B$6:$C$13,2,FALSE)&amp;"&gt;"&amp;C120&amp;"&lt;/color&gt;"</f>
        <v>&lt;color=#18e71a&gt;炎阳真火&lt;/color&gt;</v>
      </c>
      <c r="S120" t="s">
        <v>574</v>
      </c>
    </row>
    <row r="121" spans="2:19" x14ac:dyDescent="0.3">
      <c r="B121" s="1">
        <v>10702</v>
      </c>
      <c r="C121" t="s">
        <v>122</v>
      </c>
      <c r="D121" t="s">
        <v>575</v>
      </c>
      <c r="E121" s="1">
        <v>2</v>
      </c>
      <c r="F121" s="4">
        <v>7</v>
      </c>
      <c r="G121" s="10">
        <v>5</v>
      </c>
      <c r="H121" s="10">
        <v>1</v>
      </c>
      <c r="I121" s="13"/>
      <c r="J121" s="13" t="s">
        <v>124</v>
      </c>
      <c r="K121" s="13"/>
      <c r="L121" s="4">
        <v>10208</v>
      </c>
      <c r="M121" s="4">
        <v>0</v>
      </c>
      <c r="N121" s="4">
        <f t="shared" si="10"/>
        <v>10702</v>
      </c>
      <c r="O121" s="4">
        <v>1</v>
      </c>
      <c r="P121" s="4">
        <v>0</v>
      </c>
      <c r="Q121" s="4">
        <v>1</v>
      </c>
      <c r="R121" s="7" t="str">
        <f>"&lt;color=#"&amp;VLOOKUP(E121,[1]品质主表!$B$6:$C$13,2,FALSE)&amp;"&gt;"&amp;C121&amp;"&lt;/color&gt;"</f>
        <v>&lt;color=#40f3ff&gt;炎阳真火&lt;/color&gt;</v>
      </c>
      <c r="S121" t="s">
        <v>575</v>
      </c>
    </row>
    <row r="122" spans="2:19" x14ac:dyDescent="0.3">
      <c r="B122" s="1">
        <v>10703</v>
      </c>
      <c r="C122" t="s">
        <v>122</v>
      </c>
      <c r="D122" t="s">
        <v>576</v>
      </c>
      <c r="E122" s="1">
        <v>3</v>
      </c>
      <c r="F122" s="4">
        <v>7</v>
      </c>
      <c r="G122" s="10">
        <v>5</v>
      </c>
      <c r="H122" s="10">
        <v>1</v>
      </c>
      <c r="I122" s="13"/>
      <c r="J122" s="13" t="s">
        <v>125</v>
      </c>
      <c r="K122" s="13"/>
      <c r="L122" s="4">
        <v>10308</v>
      </c>
      <c r="M122" s="4">
        <v>0</v>
      </c>
      <c r="N122" s="4">
        <f t="shared" si="10"/>
        <v>10703</v>
      </c>
      <c r="O122" s="4">
        <v>1</v>
      </c>
      <c r="P122" s="4">
        <v>0</v>
      </c>
      <c r="Q122" s="4">
        <v>1</v>
      </c>
      <c r="R122" s="7" t="str">
        <f>"&lt;color=#"&amp;VLOOKUP(E122,[1]品质主表!$B$6:$C$13,2,FALSE)&amp;"&gt;"&amp;C122&amp;"&lt;/color&gt;"</f>
        <v>&lt;color=#f044dc&gt;炎阳真火&lt;/color&gt;</v>
      </c>
      <c r="S122" t="s">
        <v>576</v>
      </c>
    </row>
    <row r="123" spans="2:19" x14ac:dyDescent="0.3">
      <c r="B123" s="1">
        <v>10704</v>
      </c>
      <c r="C123" t="s">
        <v>122</v>
      </c>
      <c r="D123" t="s">
        <v>577</v>
      </c>
      <c r="E123" s="1">
        <v>4</v>
      </c>
      <c r="F123" s="4">
        <v>7</v>
      </c>
      <c r="G123" s="10">
        <v>5</v>
      </c>
      <c r="H123" s="10">
        <v>1</v>
      </c>
      <c r="I123" s="13"/>
      <c r="J123" s="13" t="s">
        <v>126</v>
      </c>
      <c r="K123" s="13"/>
      <c r="L123" s="4">
        <v>10408</v>
      </c>
      <c r="M123" s="4">
        <v>0</v>
      </c>
      <c r="N123" s="4">
        <f t="shared" si="10"/>
        <v>10704</v>
      </c>
      <c r="O123" s="4">
        <v>1</v>
      </c>
      <c r="P123" s="4">
        <v>0</v>
      </c>
      <c r="Q123" s="4">
        <v>1</v>
      </c>
      <c r="R123" s="7" t="str">
        <f>"&lt;color=#"&amp;VLOOKUP(E123,[1]品质主表!$B$6:$C$13,2,FALSE)&amp;"&gt;"&amp;C123&amp;"&lt;/color&gt;"</f>
        <v>&lt;color=#edde00&gt;炎阳真火&lt;/color&gt;</v>
      </c>
      <c r="S123" t="s">
        <v>577</v>
      </c>
    </row>
    <row r="124" spans="2:19" x14ac:dyDescent="0.3">
      <c r="B124" s="1">
        <v>10705</v>
      </c>
      <c r="C124" t="s">
        <v>122</v>
      </c>
      <c r="D124" t="s">
        <v>578</v>
      </c>
      <c r="E124" s="1">
        <v>5</v>
      </c>
      <c r="F124" s="4">
        <v>7</v>
      </c>
      <c r="G124" s="10">
        <v>5</v>
      </c>
      <c r="H124" s="10">
        <v>1</v>
      </c>
      <c r="I124" s="13"/>
      <c r="J124" s="13" t="s">
        <v>127</v>
      </c>
      <c r="K124" s="13"/>
      <c r="L124" s="4">
        <v>10508</v>
      </c>
      <c r="M124" s="4">
        <v>0</v>
      </c>
      <c r="N124" s="4">
        <f t="shared" si="10"/>
        <v>10705</v>
      </c>
      <c r="O124" s="4">
        <v>1</v>
      </c>
      <c r="P124" s="4">
        <v>0</v>
      </c>
      <c r="Q124" s="4">
        <v>1</v>
      </c>
      <c r="R124" s="7" t="str">
        <f>"&lt;color=#"&amp;VLOOKUP(E124,[1]品质主表!$B$6:$C$13,2,FALSE)&amp;"&gt;"&amp;C124&amp;"&lt;/color&gt;"</f>
        <v>&lt;color=#ff8000&gt;炎阳真火&lt;/color&gt;</v>
      </c>
      <c r="S124" t="s">
        <v>578</v>
      </c>
    </row>
    <row r="125" spans="2:19" x14ac:dyDescent="0.3">
      <c r="B125" s="1">
        <v>10706</v>
      </c>
      <c r="C125" t="s">
        <v>122</v>
      </c>
      <c r="D125" t="s">
        <v>579</v>
      </c>
      <c r="E125" s="1">
        <v>6</v>
      </c>
      <c r="F125" s="4">
        <v>7</v>
      </c>
      <c r="G125" s="10">
        <v>5</v>
      </c>
      <c r="H125" s="10">
        <v>1</v>
      </c>
      <c r="I125" s="13"/>
      <c r="J125" s="13" t="s">
        <v>128</v>
      </c>
      <c r="K125" s="13"/>
      <c r="L125" s="4">
        <v>10608</v>
      </c>
      <c r="M125" s="4">
        <v>0</v>
      </c>
      <c r="N125" s="4">
        <f t="shared" si="10"/>
        <v>10706</v>
      </c>
      <c r="O125" s="4">
        <v>1</v>
      </c>
      <c r="P125" s="4">
        <v>0</v>
      </c>
      <c r="Q125" s="4">
        <v>1</v>
      </c>
      <c r="R125" s="7" t="str">
        <f>"&lt;color=#"&amp;VLOOKUP(E125,[1]品质主表!$B$6:$C$13,2,FALSE)&amp;"&gt;"&amp;C125&amp;"&lt;/color&gt;"</f>
        <v>&lt;color=#ff4d4d&gt;炎阳真火&lt;/color&gt;</v>
      </c>
      <c r="S125" t="s">
        <v>579</v>
      </c>
    </row>
    <row r="126" spans="2:19" x14ac:dyDescent="0.3">
      <c r="B126" s="1">
        <v>10707</v>
      </c>
      <c r="C126" t="s">
        <v>122</v>
      </c>
      <c r="D126" t="s">
        <v>580</v>
      </c>
      <c r="E126" s="1">
        <v>7</v>
      </c>
      <c r="F126" s="4">
        <v>7</v>
      </c>
      <c r="G126" s="10">
        <v>5</v>
      </c>
      <c r="H126" s="10">
        <v>1</v>
      </c>
      <c r="I126" s="13"/>
      <c r="J126" s="13" t="s">
        <v>129</v>
      </c>
      <c r="K126" s="13"/>
      <c r="L126" s="4">
        <v>10708</v>
      </c>
      <c r="M126" s="4">
        <v>0</v>
      </c>
      <c r="N126" s="4">
        <f t="shared" si="10"/>
        <v>10707</v>
      </c>
      <c r="O126" s="4">
        <v>1</v>
      </c>
      <c r="P126" s="4">
        <v>0</v>
      </c>
      <c r="Q126" s="4">
        <v>1</v>
      </c>
      <c r="R126" s="7" t="str">
        <f>"&lt;color=#"&amp;VLOOKUP(E126,[1]品质主表!$B$6:$C$13,2,FALSE)&amp;"&gt;"&amp;C126&amp;"&lt;/color&gt;"</f>
        <v>&lt;color=#ff779d&gt;炎阳真火&lt;/color&gt;</v>
      </c>
      <c r="S126" t="s">
        <v>580</v>
      </c>
    </row>
    <row r="127" spans="2:19" x14ac:dyDescent="0.3">
      <c r="B127" s="1">
        <v>10708</v>
      </c>
      <c r="C127" t="s">
        <v>869</v>
      </c>
      <c r="D127" t="s">
        <v>870</v>
      </c>
      <c r="E127" s="1">
        <v>7</v>
      </c>
      <c r="F127" s="4">
        <v>7</v>
      </c>
      <c r="G127" s="10">
        <v>5</v>
      </c>
      <c r="H127" s="10">
        <v>1</v>
      </c>
      <c r="I127" s="13"/>
      <c r="J127" s="13" t="s">
        <v>834</v>
      </c>
      <c r="K127" s="13"/>
      <c r="L127" s="4">
        <v>10808</v>
      </c>
      <c r="M127" s="4">
        <v>0</v>
      </c>
      <c r="N127" s="4">
        <f t="shared" si="10"/>
        <v>10708</v>
      </c>
      <c r="O127" s="4">
        <v>1</v>
      </c>
      <c r="P127" s="4">
        <v>0</v>
      </c>
      <c r="Q127" s="4">
        <v>1</v>
      </c>
      <c r="R127" s="7" t="str">
        <f>"&lt;color=#"&amp;VLOOKUP(E127,[1]品质主表!$B$6:$C$13,2,FALSE)&amp;"&gt;"&amp;C127&amp;"&lt;/color&gt;"</f>
        <v>&lt;color=#ff779d&gt;神·炎阳真火&lt;/color&gt;</v>
      </c>
      <c r="S127" t="s">
        <v>870</v>
      </c>
    </row>
    <row r="128" spans="2:19" x14ac:dyDescent="0.3">
      <c r="B128" s="1">
        <v>10801</v>
      </c>
      <c r="C128" t="s">
        <v>130</v>
      </c>
      <c r="D128" t="s">
        <v>581</v>
      </c>
      <c r="E128" s="1">
        <v>1</v>
      </c>
      <c r="F128" s="4">
        <v>7</v>
      </c>
      <c r="G128" s="10">
        <v>5</v>
      </c>
      <c r="H128" s="10">
        <v>1</v>
      </c>
      <c r="I128" s="13"/>
      <c r="J128" s="13" t="s">
        <v>131</v>
      </c>
      <c r="K128" s="13"/>
      <c r="L128" s="4">
        <v>10109</v>
      </c>
      <c r="M128" s="4">
        <v>0</v>
      </c>
      <c r="N128" s="4">
        <f t="shared" ref="N128:N159" si="11">B128</f>
        <v>10801</v>
      </c>
      <c r="O128" s="4">
        <v>1</v>
      </c>
      <c r="P128" s="4">
        <v>0</v>
      </c>
      <c r="Q128" s="4">
        <v>1</v>
      </c>
      <c r="R128" s="7" t="str">
        <f>"&lt;color=#"&amp;VLOOKUP(E128,[1]品质主表!$B$6:$C$13,2,FALSE)&amp;"&gt;"&amp;C128&amp;"&lt;/color&gt;"</f>
        <v>&lt;color=#18e71a&gt;风神守护&lt;/color&gt;</v>
      </c>
      <c r="S128" t="s">
        <v>581</v>
      </c>
    </row>
    <row r="129" spans="2:19" x14ac:dyDescent="0.3">
      <c r="B129" s="1">
        <v>10802</v>
      </c>
      <c r="C129" t="s">
        <v>130</v>
      </c>
      <c r="D129" t="s">
        <v>582</v>
      </c>
      <c r="E129" s="1">
        <v>2</v>
      </c>
      <c r="F129" s="4">
        <v>7</v>
      </c>
      <c r="G129" s="10">
        <v>5</v>
      </c>
      <c r="H129" s="10">
        <v>1</v>
      </c>
      <c r="I129" s="13"/>
      <c r="J129" s="13" t="s">
        <v>132</v>
      </c>
      <c r="K129" s="13"/>
      <c r="L129" s="4">
        <v>10209</v>
      </c>
      <c r="M129" s="4">
        <v>0</v>
      </c>
      <c r="N129" s="4">
        <f t="shared" si="11"/>
        <v>10802</v>
      </c>
      <c r="O129" s="4">
        <v>1</v>
      </c>
      <c r="P129" s="4">
        <v>0</v>
      </c>
      <c r="Q129" s="4">
        <v>1</v>
      </c>
      <c r="R129" s="7" t="str">
        <f>"&lt;color=#"&amp;VLOOKUP(E129,[1]品质主表!$B$6:$C$13,2,FALSE)&amp;"&gt;"&amp;C129&amp;"&lt;/color&gt;"</f>
        <v>&lt;color=#40f3ff&gt;风神守护&lt;/color&gt;</v>
      </c>
      <c r="S129" t="s">
        <v>582</v>
      </c>
    </row>
    <row r="130" spans="2:19" x14ac:dyDescent="0.3">
      <c r="B130" s="1">
        <v>10803</v>
      </c>
      <c r="C130" t="s">
        <v>130</v>
      </c>
      <c r="D130" t="s">
        <v>583</v>
      </c>
      <c r="E130" s="1">
        <v>3</v>
      </c>
      <c r="F130" s="4">
        <v>7</v>
      </c>
      <c r="G130" s="10">
        <v>5</v>
      </c>
      <c r="H130" s="10">
        <v>1</v>
      </c>
      <c r="I130" s="13"/>
      <c r="J130" s="13" t="s">
        <v>133</v>
      </c>
      <c r="K130" s="13"/>
      <c r="L130" s="4">
        <v>10309</v>
      </c>
      <c r="M130" s="4">
        <v>0</v>
      </c>
      <c r="N130" s="4">
        <f t="shared" si="11"/>
        <v>10803</v>
      </c>
      <c r="O130" s="4">
        <v>1</v>
      </c>
      <c r="P130" s="4">
        <v>0</v>
      </c>
      <c r="Q130" s="4">
        <v>1</v>
      </c>
      <c r="R130" s="7" t="str">
        <f>"&lt;color=#"&amp;VLOOKUP(E130,[1]品质主表!$B$6:$C$13,2,FALSE)&amp;"&gt;"&amp;C130&amp;"&lt;/color&gt;"</f>
        <v>&lt;color=#f044dc&gt;风神守护&lt;/color&gt;</v>
      </c>
      <c r="S130" t="s">
        <v>583</v>
      </c>
    </row>
    <row r="131" spans="2:19" x14ac:dyDescent="0.3">
      <c r="B131" s="1">
        <v>10804</v>
      </c>
      <c r="C131" t="s">
        <v>130</v>
      </c>
      <c r="D131" t="s">
        <v>584</v>
      </c>
      <c r="E131" s="1">
        <v>4</v>
      </c>
      <c r="F131" s="4">
        <v>7</v>
      </c>
      <c r="G131" s="10">
        <v>5</v>
      </c>
      <c r="H131" s="10">
        <v>1</v>
      </c>
      <c r="I131" s="13"/>
      <c r="J131" s="13" t="s">
        <v>134</v>
      </c>
      <c r="K131" s="13"/>
      <c r="L131" s="4">
        <v>10409</v>
      </c>
      <c r="M131" s="4">
        <v>0</v>
      </c>
      <c r="N131" s="4">
        <f t="shared" si="11"/>
        <v>10804</v>
      </c>
      <c r="O131" s="4">
        <v>1</v>
      </c>
      <c r="P131" s="4">
        <v>0</v>
      </c>
      <c r="Q131" s="4">
        <v>1</v>
      </c>
      <c r="R131" s="7" t="str">
        <f>"&lt;color=#"&amp;VLOOKUP(E131,[1]品质主表!$B$6:$C$13,2,FALSE)&amp;"&gt;"&amp;C131&amp;"&lt;/color&gt;"</f>
        <v>&lt;color=#edde00&gt;风神守护&lt;/color&gt;</v>
      </c>
      <c r="S131" t="s">
        <v>584</v>
      </c>
    </row>
    <row r="132" spans="2:19" x14ac:dyDescent="0.3">
      <c r="B132" s="1">
        <v>10805</v>
      </c>
      <c r="C132" t="s">
        <v>130</v>
      </c>
      <c r="D132" t="s">
        <v>585</v>
      </c>
      <c r="E132" s="1">
        <v>5</v>
      </c>
      <c r="F132" s="4">
        <v>7</v>
      </c>
      <c r="G132" s="10">
        <v>5</v>
      </c>
      <c r="H132" s="10">
        <v>1</v>
      </c>
      <c r="I132" s="13"/>
      <c r="J132" s="13" t="s">
        <v>135</v>
      </c>
      <c r="K132" s="13"/>
      <c r="L132" s="4">
        <v>10509</v>
      </c>
      <c r="M132" s="4">
        <v>0</v>
      </c>
      <c r="N132" s="4">
        <f t="shared" si="11"/>
        <v>10805</v>
      </c>
      <c r="O132" s="4">
        <v>1</v>
      </c>
      <c r="P132" s="4">
        <v>0</v>
      </c>
      <c r="Q132" s="4">
        <v>1</v>
      </c>
      <c r="R132" s="7" t="str">
        <f>"&lt;color=#"&amp;VLOOKUP(E132,[1]品质主表!$B$6:$C$13,2,FALSE)&amp;"&gt;"&amp;C132&amp;"&lt;/color&gt;"</f>
        <v>&lt;color=#ff8000&gt;风神守护&lt;/color&gt;</v>
      </c>
      <c r="S132" t="s">
        <v>585</v>
      </c>
    </row>
    <row r="133" spans="2:19" x14ac:dyDescent="0.3">
      <c r="B133" s="1">
        <v>10806</v>
      </c>
      <c r="C133" t="s">
        <v>130</v>
      </c>
      <c r="D133" t="s">
        <v>586</v>
      </c>
      <c r="E133" s="1">
        <v>6</v>
      </c>
      <c r="F133" s="4">
        <v>7</v>
      </c>
      <c r="G133" s="10">
        <v>5</v>
      </c>
      <c r="H133" s="10">
        <v>1</v>
      </c>
      <c r="I133" s="13"/>
      <c r="J133" s="13" t="s">
        <v>136</v>
      </c>
      <c r="K133" s="13"/>
      <c r="L133" s="4">
        <v>10609</v>
      </c>
      <c r="M133" s="4">
        <v>0</v>
      </c>
      <c r="N133" s="4">
        <f t="shared" si="11"/>
        <v>10806</v>
      </c>
      <c r="O133" s="4">
        <v>1</v>
      </c>
      <c r="P133" s="4">
        <v>0</v>
      </c>
      <c r="Q133" s="4">
        <v>1</v>
      </c>
      <c r="R133" s="7" t="str">
        <f>"&lt;color=#"&amp;VLOOKUP(E133,[1]品质主表!$B$6:$C$13,2,FALSE)&amp;"&gt;"&amp;C133&amp;"&lt;/color&gt;"</f>
        <v>&lt;color=#ff4d4d&gt;风神守护&lt;/color&gt;</v>
      </c>
      <c r="S133" t="s">
        <v>586</v>
      </c>
    </row>
    <row r="134" spans="2:19" x14ac:dyDescent="0.3">
      <c r="B134" s="1">
        <v>10807</v>
      </c>
      <c r="C134" t="s">
        <v>130</v>
      </c>
      <c r="D134" t="s">
        <v>587</v>
      </c>
      <c r="E134" s="1">
        <v>7</v>
      </c>
      <c r="F134" s="4">
        <v>7</v>
      </c>
      <c r="G134" s="10">
        <v>5</v>
      </c>
      <c r="H134" s="10">
        <v>1</v>
      </c>
      <c r="I134" s="13"/>
      <c r="J134" s="13" t="s">
        <v>137</v>
      </c>
      <c r="K134" s="13"/>
      <c r="L134" s="4">
        <v>10709</v>
      </c>
      <c r="M134" s="4">
        <v>0</v>
      </c>
      <c r="N134" s="4">
        <f t="shared" si="11"/>
        <v>10807</v>
      </c>
      <c r="O134" s="4">
        <v>1</v>
      </c>
      <c r="P134" s="4">
        <v>0</v>
      </c>
      <c r="Q134" s="4">
        <v>1</v>
      </c>
      <c r="R134" s="7" t="str">
        <f>"&lt;color=#"&amp;VLOOKUP(E134,[1]品质主表!$B$6:$C$13,2,FALSE)&amp;"&gt;"&amp;C134&amp;"&lt;/color&gt;"</f>
        <v>&lt;color=#ff779d&gt;风神守护&lt;/color&gt;</v>
      </c>
      <c r="S134" t="s">
        <v>587</v>
      </c>
    </row>
    <row r="135" spans="2:19" x14ac:dyDescent="0.3">
      <c r="B135" s="1">
        <v>10808</v>
      </c>
      <c r="C135" t="s">
        <v>871</v>
      </c>
      <c r="D135" t="s">
        <v>872</v>
      </c>
      <c r="E135" s="1">
        <v>7</v>
      </c>
      <c r="F135" s="4">
        <v>7</v>
      </c>
      <c r="G135" s="10">
        <v>5</v>
      </c>
      <c r="H135" s="10">
        <v>1</v>
      </c>
      <c r="I135" s="13"/>
      <c r="J135" s="13" t="s">
        <v>835</v>
      </c>
      <c r="K135" s="13"/>
      <c r="L135" s="4">
        <v>10809</v>
      </c>
      <c r="M135" s="4">
        <v>0</v>
      </c>
      <c r="N135" s="4">
        <f t="shared" si="11"/>
        <v>10808</v>
      </c>
      <c r="O135" s="4">
        <v>1</v>
      </c>
      <c r="P135" s="4">
        <v>0</v>
      </c>
      <c r="Q135" s="4">
        <v>1</v>
      </c>
      <c r="R135" s="7" t="str">
        <f>"&lt;color=#"&amp;VLOOKUP(E135,[1]品质主表!$B$6:$C$13,2,FALSE)&amp;"&gt;"&amp;C135&amp;"&lt;/color&gt;"</f>
        <v>&lt;color=#ff779d&gt;神·风神守护&lt;/color&gt;</v>
      </c>
      <c r="S135" t="s">
        <v>872</v>
      </c>
    </row>
    <row r="136" spans="2:19" x14ac:dyDescent="0.3">
      <c r="B136" s="1">
        <v>10901</v>
      </c>
      <c r="C136" t="s">
        <v>138</v>
      </c>
      <c r="D136" t="s">
        <v>588</v>
      </c>
      <c r="E136" s="1">
        <v>1</v>
      </c>
      <c r="F136" s="4">
        <v>7</v>
      </c>
      <c r="G136" s="10">
        <v>5</v>
      </c>
      <c r="H136" s="10">
        <v>1</v>
      </c>
      <c r="I136" s="13"/>
      <c r="J136" s="13" t="s">
        <v>139</v>
      </c>
      <c r="K136" s="13"/>
      <c r="L136" s="4">
        <v>10110</v>
      </c>
      <c r="M136" s="4">
        <v>0</v>
      </c>
      <c r="N136" s="4">
        <f t="shared" si="11"/>
        <v>10901</v>
      </c>
      <c r="O136" s="4">
        <v>1</v>
      </c>
      <c r="P136" s="4">
        <v>0</v>
      </c>
      <c r="Q136" s="4">
        <v>1</v>
      </c>
      <c r="R136" s="7" t="str">
        <f>"&lt;color=#"&amp;VLOOKUP(E136,[1]品质主表!$B$6:$C$13,2,FALSE)&amp;"&gt;"&amp;C136&amp;"&lt;/color&gt;"</f>
        <v>&lt;color=#18e71a&gt;地脉守护&lt;/color&gt;</v>
      </c>
      <c r="S136" t="s">
        <v>588</v>
      </c>
    </row>
    <row r="137" spans="2:19" x14ac:dyDescent="0.3">
      <c r="B137" s="1">
        <v>10902</v>
      </c>
      <c r="C137" t="s">
        <v>138</v>
      </c>
      <c r="D137" t="s">
        <v>589</v>
      </c>
      <c r="E137" s="1">
        <v>2</v>
      </c>
      <c r="F137" s="4">
        <v>7</v>
      </c>
      <c r="G137" s="10">
        <v>5</v>
      </c>
      <c r="H137" s="10">
        <v>1</v>
      </c>
      <c r="I137" s="13"/>
      <c r="J137" s="13" t="s">
        <v>140</v>
      </c>
      <c r="K137" s="13"/>
      <c r="L137" s="4">
        <v>10210</v>
      </c>
      <c r="M137" s="4">
        <v>0</v>
      </c>
      <c r="N137" s="4">
        <f t="shared" si="11"/>
        <v>10902</v>
      </c>
      <c r="O137" s="4">
        <v>1</v>
      </c>
      <c r="P137" s="4">
        <v>0</v>
      </c>
      <c r="Q137" s="4">
        <v>1</v>
      </c>
      <c r="R137" s="7" t="str">
        <f>"&lt;color=#"&amp;VLOOKUP(E137,[1]品质主表!$B$6:$C$13,2,FALSE)&amp;"&gt;"&amp;C137&amp;"&lt;/color&gt;"</f>
        <v>&lt;color=#40f3ff&gt;地脉守护&lt;/color&gt;</v>
      </c>
      <c r="S137" t="s">
        <v>589</v>
      </c>
    </row>
    <row r="138" spans="2:19" x14ac:dyDescent="0.3">
      <c r="B138" s="1">
        <v>10903</v>
      </c>
      <c r="C138" t="s">
        <v>138</v>
      </c>
      <c r="D138" t="s">
        <v>590</v>
      </c>
      <c r="E138" s="1">
        <v>3</v>
      </c>
      <c r="F138" s="4">
        <v>7</v>
      </c>
      <c r="G138" s="10">
        <v>5</v>
      </c>
      <c r="H138" s="10">
        <v>1</v>
      </c>
      <c r="I138" s="13"/>
      <c r="J138" s="13" t="s">
        <v>141</v>
      </c>
      <c r="K138" s="13"/>
      <c r="L138" s="4">
        <v>10310</v>
      </c>
      <c r="M138" s="4">
        <v>0</v>
      </c>
      <c r="N138" s="4">
        <f t="shared" si="11"/>
        <v>10903</v>
      </c>
      <c r="O138" s="4">
        <v>1</v>
      </c>
      <c r="P138" s="4">
        <v>0</v>
      </c>
      <c r="Q138" s="4">
        <v>1</v>
      </c>
      <c r="R138" s="7" t="str">
        <f>"&lt;color=#"&amp;VLOOKUP(E138,[1]品质主表!$B$6:$C$13,2,FALSE)&amp;"&gt;"&amp;C138&amp;"&lt;/color&gt;"</f>
        <v>&lt;color=#f044dc&gt;地脉守护&lt;/color&gt;</v>
      </c>
      <c r="S138" t="s">
        <v>590</v>
      </c>
    </row>
    <row r="139" spans="2:19" x14ac:dyDescent="0.3">
      <c r="B139" s="1">
        <v>10904</v>
      </c>
      <c r="C139" t="s">
        <v>138</v>
      </c>
      <c r="D139" t="s">
        <v>591</v>
      </c>
      <c r="E139" s="1">
        <v>4</v>
      </c>
      <c r="F139" s="4">
        <v>7</v>
      </c>
      <c r="G139" s="10">
        <v>5</v>
      </c>
      <c r="H139" s="10">
        <v>1</v>
      </c>
      <c r="I139" s="13"/>
      <c r="J139" s="13" t="s">
        <v>142</v>
      </c>
      <c r="K139" s="13"/>
      <c r="L139" s="4">
        <v>10410</v>
      </c>
      <c r="M139" s="4">
        <v>0</v>
      </c>
      <c r="N139" s="4">
        <f t="shared" si="11"/>
        <v>10904</v>
      </c>
      <c r="O139" s="4">
        <v>1</v>
      </c>
      <c r="P139" s="4">
        <v>0</v>
      </c>
      <c r="Q139" s="4">
        <v>1</v>
      </c>
      <c r="R139" s="7" t="str">
        <f>"&lt;color=#"&amp;VLOOKUP(E139,[1]品质主表!$B$6:$C$13,2,FALSE)&amp;"&gt;"&amp;C139&amp;"&lt;/color&gt;"</f>
        <v>&lt;color=#edde00&gt;地脉守护&lt;/color&gt;</v>
      </c>
      <c r="S139" t="s">
        <v>591</v>
      </c>
    </row>
    <row r="140" spans="2:19" x14ac:dyDescent="0.3">
      <c r="B140" s="1">
        <v>10905</v>
      </c>
      <c r="C140" t="s">
        <v>138</v>
      </c>
      <c r="D140" t="s">
        <v>592</v>
      </c>
      <c r="E140" s="1">
        <v>5</v>
      </c>
      <c r="F140" s="4">
        <v>7</v>
      </c>
      <c r="G140" s="10">
        <v>5</v>
      </c>
      <c r="H140" s="10">
        <v>1</v>
      </c>
      <c r="I140" s="13"/>
      <c r="J140" s="13" t="s">
        <v>143</v>
      </c>
      <c r="K140" s="13"/>
      <c r="L140" s="4">
        <v>10510</v>
      </c>
      <c r="M140" s="4">
        <v>0</v>
      </c>
      <c r="N140" s="4">
        <f t="shared" si="11"/>
        <v>10905</v>
      </c>
      <c r="O140" s="4">
        <v>1</v>
      </c>
      <c r="P140" s="4">
        <v>0</v>
      </c>
      <c r="Q140" s="4">
        <v>1</v>
      </c>
      <c r="R140" s="7" t="str">
        <f>"&lt;color=#"&amp;VLOOKUP(E140,[1]品质主表!$B$6:$C$13,2,FALSE)&amp;"&gt;"&amp;C140&amp;"&lt;/color&gt;"</f>
        <v>&lt;color=#ff8000&gt;地脉守护&lt;/color&gt;</v>
      </c>
      <c r="S140" t="s">
        <v>592</v>
      </c>
    </row>
    <row r="141" spans="2:19" x14ac:dyDescent="0.3">
      <c r="B141" s="1">
        <v>10906</v>
      </c>
      <c r="C141" t="s">
        <v>138</v>
      </c>
      <c r="D141" t="s">
        <v>593</v>
      </c>
      <c r="E141" s="1">
        <v>6</v>
      </c>
      <c r="F141" s="4">
        <v>7</v>
      </c>
      <c r="G141" s="10">
        <v>5</v>
      </c>
      <c r="H141" s="10">
        <v>1</v>
      </c>
      <c r="I141" s="13"/>
      <c r="J141" s="13" t="s">
        <v>144</v>
      </c>
      <c r="K141" s="13"/>
      <c r="L141" s="4">
        <v>10610</v>
      </c>
      <c r="M141" s="4">
        <v>0</v>
      </c>
      <c r="N141" s="4">
        <f t="shared" si="11"/>
        <v>10906</v>
      </c>
      <c r="O141" s="4">
        <v>1</v>
      </c>
      <c r="P141" s="4">
        <v>0</v>
      </c>
      <c r="Q141" s="4">
        <v>1</v>
      </c>
      <c r="R141" s="7" t="str">
        <f>"&lt;color=#"&amp;VLOOKUP(E141,[1]品质主表!$B$6:$C$13,2,FALSE)&amp;"&gt;"&amp;C141&amp;"&lt;/color&gt;"</f>
        <v>&lt;color=#ff4d4d&gt;地脉守护&lt;/color&gt;</v>
      </c>
      <c r="S141" t="s">
        <v>593</v>
      </c>
    </row>
    <row r="142" spans="2:19" x14ac:dyDescent="0.3">
      <c r="B142" s="1">
        <v>10907</v>
      </c>
      <c r="C142" t="s">
        <v>138</v>
      </c>
      <c r="D142" t="s">
        <v>594</v>
      </c>
      <c r="E142" s="1">
        <v>7</v>
      </c>
      <c r="F142" s="4">
        <v>7</v>
      </c>
      <c r="G142" s="10">
        <v>5</v>
      </c>
      <c r="H142" s="10">
        <v>1</v>
      </c>
      <c r="I142" s="13"/>
      <c r="J142" s="13" t="s">
        <v>145</v>
      </c>
      <c r="K142" s="13"/>
      <c r="L142" s="4">
        <v>10710</v>
      </c>
      <c r="M142" s="4">
        <v>0</v>
      </c>
      <c r="N142" s="4">
        <f t="shared" si="11"/>
        <v>10907</v>
      </c>
      <c r="O142" s="4">
        <v>1</v>
      </c>
      <c r="P142" s="4">
        <v>0</v>
      </c>
      <c r="Q142" s="4">
        <v>1</v>
      </c>
      <c r="R142" s="7" t="str">
        <f>"&lt;color=#"&amp;VLOOKUP(E142,[1]品质主表!$B$6:$C$13,2,FALSE)&amp;"&gt;"&amp;C142&amp;"&lt;/color&gt;"</f>
        <v>&lt;color=#ff779d&gt;地脉守护&lt;/color&gt;</v>
      </c>
      <c r="S142" t="s">
        <v>594</v>
      </c>
    </row>
    <row r="143" spans="2:19" x14ac:dyDescent="0.3">
      <c r="B143" s="1">
        <v>10908</v>
      </c>
      <c r="C143" t="s">
        <v>873</v>
      </c>
      <c r="D143" t="s">
        <v>874</v>
      </c>
      <c r="E143" s="1">
        <v>7</v>
      </c>
      <c r="F143" s="4">
        <v>7</v>
      </c>
      <c r="G143" s="10">
        <v>5</v>
      </c>
      <c r="H143" s="10">
        <v>1</v>
      </c>
      <c r="I143" s="13"/>
      <c r="J143" s="13" t="s">
        <v>836</v>
      </c>
      <c r="K143" s="13"/>
      <c r="L143" s="4">
        <v>10810</v>
      </c>
      <c r="M143" s="4">
        <v>0</v>
      </c>
      <c r="N143" s="4">
        <f t="shared" si="11"/>
        <v>10908</v>
      </c>
      <c r="O143" s="4">
        <v>1</v>
      </c>
      <c r="P143" s="4">
        <v>0</v>
      </c>
      <c r="Q143" s="4">
        <v>1</v>
      </c>
      <c r="R143" s="7" t="str">
        <f>"&lt;color=#"&amp;VLOOKUP(E143,[1]品质主表!$B$6:$C$13,2,FALSE)&amp;"&gt;"&amp;C143&amp;"&lt;/color&gt;"</f>
        <v>&lt;color=#ff779d&gt;神·地脉守护&lt;/color&gt;</v>
      </c>
      <c r="S143" t="s">
        <v>874</v>
      </c>
    </row>
    <row r="144" spans="2:19" x14ac:dyDescent="0.3">
      <c r="B144" s="1">
        <v>11001</v>
      </c>
      <c r="C144" t="s">
        <v>146</v>
      </c>
      <c r="D144" t="s">
        <v>595</v>
      </c>
      <c r="E144" s="1">
        <v>1</v>
      </c>
      <c r="F144" s="4">
        <v>7</v>
      </c>
      <c r="G144" s="10">
        <v>5</v>
      </c>
      <c r="H144" s="10">
        <v>1</v>
      </c>
      <c r="I144" s="13"/>
      <c r="J144" s="13" t="s">
        <v>147</v>
      </c>
      <c r="K144" s="13"/>
      <c r="L144" s="4">
        <v>10111</v>
      </c>
      <c r="M144" s="4">
        <v>0</v>
      </c>
      <c r="N144" s="4">
        <f t="shared" si="11"/>
        <v>11001</v>
      </c>
      <c r="O144" s="4">
        <v>1</v>
      </c>
      <c r="P144" s="4">
        <v>0</v>
      </c>
      <c r="Q144" s="4">
        <v>1</v>
      </c>
      <c r="R144" s="7" t="str">
        <f>"&lt;color=#"&amp;VLOOKUP(E144,[1]品质主表!$B$6:$C$13,2,FALSE)&amp;"&gt;"&amp;C144&amp;"&lt;/color&gt;"</f>
        <v>&lt;color=#18e71a&gt;水灵之语&lt;/color&gt;</v>
      </c>
      <c r="S144" t="s">
        <v>595</v>
      </c>
    </row>
    <row r="145" spans="2:19" x14ac:dyDescent="0.3">
      <c r="B145" s="1">
        <v>11002</v>
      </c>
      <c r="C145" t="s">
        <v>146</v>
      </c>
      <c r="D145" t="s">
        <v>596</v>
      </c>
      <c r="E145" s="1">
        <v>2</v>
      </c>
      <c r="F145" s="4">
        <v>7</v>
      </c>
      <c r="G145" s="10">
        <v>5</v>
      </c>
      <c r="H145" s="10">
        <v>1</v>
      </c>
      <c r="I145" s="13"/>
      <c r="J145" s="13" t="s">
        <v>148</v>
      </c>
      <c r="K145" s="13"/>
      <c r="L145" s="4">
        <v>10211</v>
      </c>
      <c r="M145" s="4">
        <v>0</v>
      </c>
      <c r="N145" s="4">
        <f t="shared" si="11"/>
        <v>11002</v>
      </c>
      <c r="O145" s="4">
        <v>1</v>
      </c>
      <c r="P145" s="4">
        <v>0</v>
      </c>
      <c r="Q145" s="4">
        <v>1</v>
      </c>
      <c r="R145" s="7" t="str">
        <f>"&lt;color=#"&amp;VLOOKUP(E145,[1]品质主表!$B$6:$C$13,2,FALSE)&amp;"&gt;"&amp;C145&amp;"&lt;/color&gt;"</f>
        <v>&lt;color=#40f3ff&gt;水灵之语&lt;/color&gt;</v>
      </c>
      <c r="S145" t="s">
        <v>596</v>
      </c>
    </row>
    <row r="146" spans="2:19" x14ac:dyDescent="0.3">
      <c r="B146" s="1">
        <v>11003</v>
      </c>
      <c r="C146" t="s">
        <v>146</v>
      </c>
      <c r="D146" t="s">
        <v>597</v>
      </c>
      <c r="E146" s="1">
        <v>3</v>
      </c>
      <c r="F146" s="4">
        <v>7</v>
      </c>
      <c r="G146" s="10">
        <v>5</v>
      </c>
      <c r="H146" s="10">
        <v>1</v>
      </c>
      <c r="I146" s="13"/>
      <c r="J146" s="13" t="s">
        <v>149</v>
      </c>
      <c r="K146" s="13"/>
      <c r="L146" s="4">
        <v>10311</v>
      </c>
      <c r="M146" s="4">
        <v>0</v>
      </c>
      <c r="N146" s="4">
        <f t="shared" si="11"/>
        <v>11003</v>
      </c>
      <c r="O146" s="4">
        <v>1</v>
      </c>
      <c r="P146" s="4">
        <v>0</v>
      </c>
      <c r="Q146" s="4">
        <v>1</v>
      </c>
      <c r="R146" s="7" t="str">
        <f>"&lt;color=#"&amp;VLOOKUP(E146,[1]品质主表!$B$6:$C$13,2,FALSE)&amp;"&gt;"&amp;C146&amp;"&lt;/color&gt;"</f>
        <v>&lt;color=#f044dc&gt;水灵之语&lt;/color&gt;</v>
      </c>
      <c r="S146" t="s">
        <v>597</v>
      </c>
    </row>
    <row r="147" spans="2:19" x14ac:dyDescent="0.3">
      <c r="B147" s="1">
        <v>11004</v>
      </c>
      <c r="C147" t="s">
        <v>146</v>
      </c>
      <c r="D147" t="s">
        <v>598</v>
      </c>
      <c r="E147" s="1">
        <v>4</v>
      </c>
      <c r="F147" s="4">
        <v>7</v>
      </c>
      <c r="G147" s="10">
        <v>5</v>
      </c>
      <c r="H147" s="10">
        <v>1</v>
      </c>
      <c r="I147" s="13"/>
      <c r="J147" s="13" t="s">
        <v>150</v>
      </c>
      <c r="K147" s="13"/>
      <c r="L147" s="4">
        <v>10411</v>
      </c>
      <c r="M147" s="4">
        <v>0</v>
      </c>
      <c r="N147" s="4">
        <f t="shared" si="11"/>
        <v>11004</v>
      </c>
      <c r="O147" s="4">
        <v>1</v>
      </c>
      <c r="P147" s="4">
        <v>0</v>
      </c>
      <c r="Q147" s="4">
        <v>1</v>
      </c>
      <c r="R147" s="7" t="str">
        <f>"&lt;color=#"&amp;VLOOKUP(E147,[1]品质主表!$B$6:$C$13,2,FALSE)&amp;"&gt;"&amp;C147&amp;"&lt;/color&gt;"</f>
        <v>&lt;color=#edde00&gt;水灵之语&lt;/color&gt;</v>
      </c>
      <c r="S147" t="s">
        <v>598</v>
      </c>
    </row>
    <row r="148" spans="2:19" x14ac:dyDescent="0.3">
      <c r="B148" s="1">
        <v>11005</v>
      </c>
      <c r="C148" t="s">
        <v>146</v>
      </c>
      <c r="D148" t="s">
        <v>599</v>
      </c>
      <c r="E148" s="1">
        <v>5</v>
      </c>
      <c r="F148" s="4">
        <v>7</v>
      </c>
      <c r="G148" s="10">
        <v>5</v>
      </c>
      <c r="H148" s="10">
        <v>1</v>
      </c>
      <c r="I148" s="13"/>
      <c r="J148" s="13" t="s">
        <v>151</v>
      </c>
      <c r="K148" s="13"/>
      <c r="L148" s="4">
        <v>10511</v>
      </c>
      <c r="M148" s="4">
        <v>0</v>
      </c>
      <c r="N148" s="4">
        <f t="shared" si="11"/>
        <v>11005</v>
      </c>
      <c r="O148" s="4">
        <v>1</v>
      </c>
      <c r="P148" s="4">
        <v>0</v>
      </c>
      <c r="Q148" s="4">
        <v>1</v>
      </c>
      <c r="R148" s="7" t="str">
        <f>"&lt;color=#"&amp;VLOOKUP(E148,[1]品质主表!$B$6:$C$13,2,FALSE)&amp;"&gt;"&amp;C148&amp;"&lt;/color&gt;"</f>
        <v>&lt;color=#ff8000&gt;水灵之语&lt;/color&gt;</v>
      </c>
      <c r="S148" t="s">
        <v>599</v>
      </c>
    </row>
    <row r="149" spans="2:19" x14ac:dyDescent="0.3">
      <c r="B149" s="1">
        <v>11006</v>
      </c>
      <c r="C149" t="s">
        <v>146</v>
      </c>
      <c r="D149" t="s">
        <v>600</v>
      </c>
      <c r="E149" s="1">
        <v>6</v>
      </c>
      <c r="F149" s="4">
        <v>7</v>
      </c>
      <c r="G149" s="10">
        <v>5</v>
      </c>
      <c r="H149" s="10">
        <v>1</v>
      </c>
      <c r="I149" s="13"/>
      <c r="J149" s="13" t="s">
        <v>152</v>
      </c>
      <c r="K149" s="13"/>
      <c r="L149" s="4">
        <v>10611</v>
      </c>
      <c r="M149" s="4">
        <v>0</v>
      </c>
      <c r="N149" s="4">
        <f t="shared" si="11"/>
        <v>11006</v>
      </c>
      <c r="O149" s="4">
        <v>1</v>
      </c>
      <c r="P149" s="4">
        <v>0</v>
      </c>
      <c r="Q149" s="4">
        <v>1</v>
      </c>
      <c r="R149" s="7" t="str">
        <f>"&lt;color=#"&amp;VLOOKUP(E149,[1]品质主表!$B$6:$C$13,2,FALSE)&amp;"&gt;"&amp;C149&amp;"&lt;/color&gt;"</f>
        <v>&lt;color=#ff4d4d&gt;水灵之语&lt;/color&gt;</v>
      </c>
      <c r="S149" t="s">
        <v>600</v>
      </c>
    </row>
    <row r="150" spans="2:19" x14ac:dyDescent="0.3">
      <c r="B150" s="1">
        <v>11007</v>
      </c>
      <c r="C150" t="s">
        <v>146</v>
      </c>
      <c r="D150" t="s">
        <v>601</v>
      </c>
      <c r="E150" s="1">
        <v>7</v>
      </c>
      <c r="F150" s="4">
        <v>7</v>
      </c>
      <c r="G150" s="10">
        <v>5</v>
      </c>
      <c r="H150" s="10">
        <v>1</v>
      </c>
      <c r="I150" s="13"/>
      <c r="J150" s="13" t="s">
        <v>153</v>
      </c>
      <c r="K150" s="13"/>
      <c r="L150" s="4">
        <v>10711</v>
      </c>
      <c r="M150" s="4">
        <v>0</v>
      </c>
      <c r="N150" s="4">
        <f t="shared" si="11"/>
        <v>11007</v>
      </c>
      <c r="O150" s="4">
        <v>1</v>
      </c>
      <c r="P150" s="4">
        <v>0</v>
      </c>
      <c r="Q150" s="4">
        <v>1</v>
      </c>
      <c r="R150" s="7" t="str">
        <f>"&lt;color=#"&amp;VLOOKUP(E150,[1]品质主表!$B$6:$C$13,2,FALSE)&amp;"&gt;"&amp;C150&amp;"&lt;/color&gt;"</f>
        <v>&lt;color=#ff779d&gt;水灵之语&lt;/color&gt;</v>
      </c>
      <c r="S150" t="s">
        <v>601</v>
      </c>
    </row>
    <row r="151" spans="2:19" x14ac:dyDescent="0.3">
      <c r="B151" s="1">
        <v>11008</v>
      </c>
      <c r="C151" t="s">
        <v>875</v>
      </c>
      <c r="D151" t="s">
        <v>876</v>
      </c>
      <c r="E151" s="1">
        <v>7</v>
      </c>
      <c r="F151" s="4">
        <v>7</v>
      </c>
      <c r="G151" s="10">
        <v>5</v>
      </c>
      <c r="H151" s="10">
        <v>1</v>
      </c>
      <c r="I151" s="13"/>
      <c r="J151" s="13" t="s">
        <v>837</v>
      </c>
      <c r="K151" s="13"/>
      <c r="L151" s="4">
        <v>10811</v>
      </c>
      <c r="M151" s="4">
        <v>0</v>
      </c>
      <c r="N151" s="4">
        <f t="shared" si="11"/>
        <v>11008</v>
      </c>
      <c r="O151" s="4">
        <v>1</v>
      </c>
      <c r="P151" s="4">
        <v>0</v>
      </c>
      <c r="Q151" s="4">
        <v>1</v>
      </c>
      <c r="R151" s="7" t="str">
        <f>"&lt;color=#"&amp;VLOOKUP(E151,[1]品质主表!$B$6:$C$13,2,FALSE)&amp;"&gt;"&amp;C151&amp;"&lt;/color&gt;"</f>
        <v>&lt;color=#ff779d&gt;神·水灵之语&lt;/color&gt;</v>
      </c>
      <c r="S151" t="s">
        <v>876</v>
      </c>
    </row>
    <row r="152" spans="2:19" x14ac:dyDescent="0.3">
      <c r="B152" s="1">
        <v>11101</v>
      </c>
      <c r="C152" t="s">
        <v>154</v>
      </c>
      <c r="D152" t="s">
        <v>602</v>
      </c>
      <c r="E152" s="1">
        <v>1</v>
      </c>
      <c r="F152" s="4">
        <v>7</v>
      </c>
      <c r="G152" s="10">
        <v>5</v>
      </c>
      <c r="H152" s="10">
        <v>1</v>
      </c>
      <c r="I152" s="13"/>
      <c r="J152" s="13" t="s">
        <v>155</v>
      </c>
      <c r="K152" s="13"/>
      <c r="L152" s="4">
        <v>10112</v>
      </c>
      <c r="M152" s="4">
        <v>0</v>
      </c>
      <c r="N152" s="4">
        <f t="shared" si="11"/>
        <v>11101</v>
      </c>
      <c r="O152" s="4">
        <v>1</v>
      </c>
      <c r="P152" s="4">
        <v>0</v>
      </c>
      <c r="Q152" s="4">
        <v>1</v>
      </c>
      <c r="R152" s="7" t="str">
        <f>"&lt;color=#"&amp;VLOOKUP(E152,[1]品质主表!$B$6:$C$13,2,FALSE)&amp;"&gt;"&amp;C152&amp;"&lt;/color&gt;"</f>
        <v>&lt;color=#18e71a&gt;火甲之语&lt;/color&gt;</v>
      </c>
      <c r="S152" t="s">
        <v>602</v>
      </c>
    </row>
    <row r="153" spans="2:19" x14ac:dyDescent="0.3">
      <c r="B153" s="1">
        <v>11102</v>
      </c>
      <c r="C153" t="s">
        <v>154</v>
      </c>
      <c r="D153" t="s">
        <v>603</v>
      </c>
      <c r="E153" s="1">
        <v>2</v>
      </c>
      <c r="F153" s="4">
        <v>7</v>
      </c>
      <c r="G153" s="10">
        <v>5</v>
      </c>
      <c r="H153" s="10">
        <v>1</v>
      </c>
      <c r="I153" s="13"/>
      <c r="J153" s="13" t="s">
        <v>156</v>
      </c>
      <c r="K153" s="13"/>
      <c r="L153" s="4">
        <v>10212</v>
      </c>
      <c r="M153" s="4">
        <v>0</v>
      </c>
      <c r="N153" s="4">
        <f t="shared" si="11"/>
        <v>11102</v>
      </c>
      <c r="O153" s="4">
        <v>1</v>
      </c>
      <c r="P153" s="4">
        <v>0</v>
      </c>
      <c r="Q153" s="4">
        <v>1</v>
      </c>
      <c r="R153" s="7" t="str">
        <f>"&lt;color=#"&amp;VLOOKUP(E153,[1]品质主表!$B$6:$C$13,2,FALSE)&amp;"&gt;"&amp;C153&amp;"&lt;/color&gt;"</f>
        <v>&lt;color=#40f3ff&gt;火甲之语&lt;/color&gt;</v>
      </c>
      <c r="S153" t="s">
        <v>603</v>
      </c>
    </row>
    <row r="154" spans="2:19" x14ac:dyDescent="0.3">
      <c r="B154" s="1">
        <v>11103</v>
      </c>
      <c r="C154" t="s">
        <v>154</v>
      </c>
      <c r="D154" t="s">
        <v>604</v>
      </c>
      <c r="E154" s="1">
        <v>3</v>
      </c>
      <c r="F154" s="4">
        <v>7</v>
      </c>
      <c r="G154" s="10">
        <v>5</v>
      </c>
      <c r="H154" s="10">
        <v>1</v>
      </c>
      <c r="I154" s="13"/>
      <c r="J154" s="13" t="s">
        <v>157</v>
      </c>
      <c r="K154" s="13"/>
      <c r="L154" s="4">
        <v>10312</v>
      </c>
      <c r="M154" s="4">
        <v>0</v>
      </c>
      <c r="N154" s="4">
        <f t="shared" si="11"/>
        <v>11103</v>
      </c>
      <c r="O154" s="4">
        <v>1</v>
      </c>
      <c r="P154" s="4">
        <v>0</v>
      </c>
      <c r="Q154" s="4">
        <v>1</v>
      </c>
      <c r="R154" s="7" t="str">
        <f>"&lt;color=#"&amp;VLOOKUP(E154,[1]品质主表!$B$6:$C$13,2,FALSE)&amp;"&gt;"&amp;C154&amp;"&lt;/color&gt;"</f>
        <v>&lt;color=#f044dc&gt;火甲之语&lt;/color&gt;</v>
      </c>
      <c r="S154" t="s">
        <v>604</v>
      </c>
    </row>
    <row r="155" spans="2:19" x14ac:dyDescent="0.3">
      <c r="B155" s="1">
        <v>11104</v>
      </c>
      <c r="C155" t="s">
        <v>154</v>
      </c>
      <c r="D155" t="s">
        <v>605</v>
      </c>
      <c r="E155" s="1">
        <v>4</v>
      </c>
      <c r="F155" s="4">
        <v>7</v>
      </c>
      <c r="G155" s="10">
        <v>5</v>
      </c>
      <c r="H155" s="10">
        <v>1</v>
      </c>
      <c r="I155" s="13"/>
      <c r="J155" s="13" t="s">
        <v>158</v>
      </c>
      <c r="K155" s="13"/>
      <c r="L155" s="4">
        <v>10412</v>
      </c>
      <c r="M155" s="4">
        <v>0</v>
      </c>
      <c r="N155" s="4">
        <f t="shared" si="11"/>
        <v>11104</v>
      </c>
      <c r="O155" s="4">
        <v>1</v>
      </c>
      <c r="P155" s="4">
        <v>0</v>
      </c>
      <c r="Q155" s="4">
        <v>1</v>
      </c>
      <c r="R155" s="7" t="str">
        <f>"&lt;color=#"&amp;VLOOKUP(E155,[1]品质主表!$B$6:$C$13,2,FALSE)&amp;"&gt;"&amp;C155&amp;"&lt;/color&gt;"</f>
        <v>&lt;color=#edde00&gt;火甲之语&lt;/color&gt;</v>
      </c>
      <c r="S155" t="s">
        <v>605</v>
      </c>
    </row>
    <row r="156" spans="2:19" x14ac:dyDescent="0.3">
      <c r="B156" s="1">
        <v>11105</v>
      </c>
      <c r="C156" t="s">
        <v>154</v>
      </c>
      <c r="D156" t="s">
        <v>606</v>
      </c>
      <c r="E156" s="1">
        <v>5</v>
      </c>
      <c r="F156" s="4">
        <v>7</v>
      </c>
      <c r="G156" s="10">
        <v>5</v>
      </c>
      <c r="H156" s="10">
        <v>1</v>
      </c>
      <c r="I156" s="13"/>
      <c r="J156" s="13" t="s">
        <v>159</v>
      </c>
      <c r="K156" s="13"/>
      <c r="L156" s="4">
        <v>10512</v>
      </c>
      <c r="M156" s="4">
        <v>0</v>
      </c>
      <c r="N156" s="4">
        <f t="shared" si="11"/>
        <v>11105</v>
      </c>
      <c r="O156" s="4">
        <v>1</v>
      </c>
      <c r="P156" s="4">
        <v>0</v>
      </c>
      <c r="Q156" s="4">
        <v>1</v>
      </c>
      <c r="R156" s="7" t="str">
        <f>"&lt;color=#"&amp;VLOOKUP(E156,[1]品质主表!$B$6:$C$13,2,FALSE)&amp;"&gt;"&amp;C156&amp;"&lt;/color&gt;"</f>
        <v>&lt;color=#ff8000&gt;火甲之语&lt;/color&gt;</v>
      </c>
      <c r="S156" t="s">
        <v>606</v>
      </c>
    </row>
    <row r="157" spans="2:19" x14ac:dyDescent="0.3">
      <c r="B157" s="1">
        <v>11106</v>
      </c>
      <c r="C157" t="s">
        <v>154</v>
      </c>
      <c r="D157" t="s">
        <v>607</v>
      </c>
      <c r="E157" s="1">
        <v>6</v>
      </c>
      <c r="F157" s="4">
        <v>7</v>
      </c>
      <c r="G157" s="10">
        <v>5</v>
      </c>
      <c r="H157" s="10">
        <v>1</v>
      </c>
      <c r="I157" s="13"/>
      <c r="J157" s="13" t="s">
        <v>160</v>
      </c>
      <c r="K157" s="13"/>
      <c r="L157" s="4">
        <v>10612</v>
      </c>
      <c r="M157" s="4">
        <v>0</v>
      </c>
      <c r="N157" s="4">
        <f t="shared" si="11"/>
        <v>11106</v>
      </c>
      <c r="O157" s="4">
        <v>1</v>
      </c>
      <c r="P157" s="4">
        <v>0</v>
      </c>
      <c r="Q157" s="4">
        <v>1</v>
      </c>
      <c r="R157" s="7" t="str">
        <f>"&lt;color=#"&amp;VLOOKUP(E157,[1]品质主表!$B$6:$C$13,2,FALSE)&amp;"&gt;"&amp;C157&amp;"&lt;/color&gt;"</f>
        <v>&lt;color=#ff4d4d&gt;火甲之语&lt;/color&gt;</v>
      </c>
      <c r="S157" t="s">
        <v>607</v>
      </c>
    </row>
    <row r="158" spans="2:19" x14ac:dyDescent="0.3">
      <c r="B158" s="1">
        <v>11107</v>
      </c>
      <c r="C158" t="s">
        <v>154</v>
      </c>
      <c r="D158" t="s">
        <v>608</v>
      </c>
      <c r="E158" s="1">
        <v>7</v>
      </c>
      <c r="F158" s="4">
        <v>7</v>
      </c>
      <c r="G158" s="10">
        <v>5</v>
      </c>
      <c r="H158" s="10">
        <v>1</v>
      </c>
      <c r="I158" s="13"/>
      <c r="J158" s="13" t="s">
        <v>161</v>
      </c>
      <c r="K158" s="13"/>
      <c r="L158" s="4">
        <v>10712</v>
      </c>
      <c r="M158" s="4">
        <v>0</v>
      </c>
      <c r="N158" s="4">
        <f t="shared" si="11"/>
        <v>11107</v>
      </c>
      <c r="O158" s="4">
        <v>1</v>
      </c>
      <c r="P158" s="4">
        <v>0</v>
      </c>
      <c r="Q158" s="4">
        <v>1</v>
      </c>
      <c r="R158" s="7" t="str">
        <f>"&lt;color=#"&amp;VLOOKUP(E158,[1]品质主表!$B$6:$C$13,2,FALSE)&amp;"&gt;"&amp;C158&amp;"&lt;/color&gt;"</f>
        <v>&lt;color=#ff779d&gt;火甲之语&lt;/color&gt;</v>
      </c>
      <c r="S158" t="s">
        <v>608</v>
      </c>
    </row>
    <row r="159" spans="2:19" x14ac:dyDescent="0.3">
      <c r="B159" s="1">
        <v>11108</v>
      </c>
      <c r="C159" t="s">
        <v>877</v>
      </c>
      <c r="D159" t="s">
        <v>878</v>
      </c>
      <c r="E159" s="1">
        <v>7</v>
      </c>
      <c r="F159" s="4">
        <v>7</v>
      </c>
      <c r="G159" s="10">
        <v>5</v>
      </c>
      <c r="H159" s="10">
        <v>1</v>
      </c>
      <c r="I159" s="13"/>
      <c r="J159" s="13" t="s">
        <v>838</v>
      </c>
      <c r="K159" s="13"/>
      <c r="L159" s="4">
        <v>10812</v>
      </c>
      <c r="M159" s="4">
        <v>0</v>
      </c>
      <c r="N159" s="4">
        <f t="shared" si="11"/>
        <v>11108</v>
      </c>
      <c r="O159" s="4">
        <v>1</v>
      </c>
      <c r="P159" s="4">
        <v>0</v>
      </c>
      <c r="Q159" s="4">
        <v>1</v>
      </c>
      <c r="R159" s="7" t="str">
        <f>"&lt;color=#"&amp;VLOOKUP(E159,[1]品质主表!$B$6:$C$13,2,FALSE)&amp;"&gt;"&amp;C159&amp;"&lt;/color&gt;"</f>
        <v>&lt;color=#ff779d&gt;神·火甲之语&lt;/color&gt;</v>
      </c>
      <c r="S159" t="s">
        <v>878</v>
      </c>
    </row>
    <row r="160" spans="2:19" x14ac:dyDescent="0.3">
      <c r="B160" s="1">
        <v>11201</v>
      </c>
      <c r="C160" t="s">
        <v>162</v>
      </c>
      <c r="D160" t="s">
        <v>609</v>
      </c>
      <c r="E160" s="1">
        <v>1</v>
      </c>
      <c r="F160" s="4">
        <v>7</v>
      </c>
      <c r="G160" s="10">
        <v>5</v>
      </c>
      <c r="H160" s="10">
        <v>1</v>
      </c>
      <c r="I160" s="13"/>
      <c r="J160" s="13" t="s">
        <v>163</v>
      </c>
      <c r="K160" s="13"/>
      <c r="L160" s="4">
        <v>10113</v>
      </c>
      <c r="M160" s="4">
        <v>0</v>
      </c>
      <c r="N160" s="4">
        <f t="shared" ref="N160:N191" si="12">B160</f>
        <v>11201</v>
      </c>
      <c r="O160" s="4">
        <v>1</v>
      </c>
      <c r="P160" s="4">
        <v>0</v>
      </c>
      <c r="Q160" s="4">
        <v>1</v>
      </c>
      <c r="R160" s="7" t="str">
        <f>"&lt;color=#"&amp;VLOOKUP(E160,[1]品质主表!$B$6:$C$13,2,FALSE)&amp;"&gt;"&amp;C160&amp;"&lt;/color&gt;"</f>
        <v>&lt;color=#18e71a&gt;不动如山&lt;/color&gt;</v>
      </c>
      <c r="S160" t="s">
        <v>609</v>
      </c>
    </row>
    <row r="161" spans="2:19" x14ac:dyDescent="0.3">
      <c r="B161" s="1">
        <v>11202</v>
      </c>
      <c r="C161" t="s">
        <v>162</v>
      </c>
      <c r="D161" t="s">
        <v>610</v>
      </c>
      <c r="E161" s="1">
        <v>2</v>
      </c>
      <c r="F161" s="4">
        <v>7</v>
      </c>
      <c r="G161" s="10">
        <v>5</v>
      </c>
      <c r="H161" s="10">
        <v>1</v>
      </c>
      <c r="I161" s="13"/>
      <c r="J161" s="13" t="s">
        <v>164</v>
      </c>
      <c r="K161" s="13"/>
      <c r="L161" s="4">
        <v>10213</v>
      </c>
      <c r="M161" s="4">
        <v>0</v>
      </c>
      <c r="N161" s="4">
        <f t="shared" si="12"/>
        <v>11202</v>
      </c>
      <c r="O161" s="4">
        <v>1</v>
      </c>
      <c r="P161" s="4">
        <v>0</v>
      </c>
      <c r="Q161" s="4">
        <v>1</v>
      </c>
      <c r="R161" s="7" t="str">
        <f>"&lt;color=#"&amp;VLOOKUP(E161,[1]品质主表!$B$6:$C$13,2,FALSE)&amp;"&gt;"&amp;C161&amp;"&lt;/color&gt;"</f>
        <v>&lt;color=#40f3ff&gt;不动如山&lt;/color&gt;</v>
      </c>
      <c r="S161" t="s">
        <v>610</v>
      </c>
    </row>
    <row r="162" spans="2:19" x14ac:dyDescent="0.3">
      <c r="B162" s="1">
        <v>11203</v>
      </c>
      <c r="C162" t="s">
        <v>162</v>
      </c>
      <c r="D162" t="s">
        <v>611</v>
      </c>
      <c r="E162" s="1">
        <v>3</v>
      </c>
      <c r="F162" s="4">
        <v>7</v>
      </c>
      <c r="G162" s="10">
        <v>5</v>
      </c>
      <c r="H162" s="10">
        <v>1</v>
      </c>
      <c r="I162" s="13"/>
      <c r="J162" s="13" t="s">
        <v>165</v>
      </c>
      <c r="K162" s="13"/>
      <c r="L162" s="4">
        <v>10313</v>
      </c>
      <c r="M162" s="4">
        <v>0</v>
      </c>
      <c r="N162" s="4">
        <f t="shared" si="12"/>
        <v>11203</v>
      </c>
      <c r="O162" s="4">
        <v>1</v>
      </c>
      <c r="P162" s="4">
        <v>0</v>
      </c>
      <c r="Q162" s="4">
        <v>1</v>
      </c>
      <c r="R162" s="7" t="str">
        <f>"&lt;color=#"&amp;VLOOKUP(E162,[1]品质主表!$B$6:$C$13,2,FALSE)&amp;"&gt;"&amp;C162&amp;"&lt;/color&gt;"</f>
        <v>&lt;color=#f044dc&gt;不动如山&lt;/color&gt;</v>
      </c>
      <c r="S162" t="s">
        <v>611</v>
      </c>
    </row>
    <row r="163" spans="2:19" x14ac:dyDescent="0.3">
      <c r="B163" s="1">
        <v>11204</v>
      </c>
      <c r="C163" t="s">
        <v>162</v>
      </c>
      <c r="D163" t="s">
        <v>612</v>
      </c>
      <c r="E163" s="1">
        <v>4</v>
      </c>
      <c r="F163" s="4">
        <v>7</v>
      </c>
      <c r="G163" s="10">
        <v>5</v>
      </c>
      <c r="H163" s="10">
        <v>1</v>
      </c>
      <c r="I163" s="13"/>
      <c r="J163" s="13" t="s">
        <v>166</v>
      </c>
      <c r="K163" s="13"/>
      <c r="L163" s="4">
        <v>10413</v>
      </c>
      <c r="M163" s="4">
        <v>0</v>
      </c>
      <c r="N163" s="4">
        <f t="shared" si="12"/>
        <v>11204</v>
      </c>
      <c r="O163" s="4">
        <v>1</v>
      </c>
      <c r="P163" s="4">
        <v>0</v>
      </c>
      <c r="Q163" s="4">
        <v>1</v>
      </c>
      <c r="R163" s="7" t="str">
        <f>"&lt;color=#"&amp;VLOOKUP(E163,[1]品质主表!$B$6:$C$13,2,FALSE)&amp;"&gt;"&amp;C163&amp;"&lt;/color&gt;"</f>
        <v>&lt;color=#edde00&gt;不动如山&lt;/color&gt;</v>
      </c>
      <c r="S163" t="s">
        <v>612</v>
      </c>
    </row>
    <row r="164" spans="2:19" x14ac:dyDescent="0.3">
      <c r="B164" s="1">
        <v>11205</v>
      </c>
      <c r="C164" t="s">
        <v>162</v>
      </c>
      <c r="D164" t="s">
        <v>613</v>
      </c>
      <c r="E164" s="1">
        <v>5</v>
      </c>
      <c r="F164" s="4">
        <v>7</v>
      </c>
      <c r="G164" s="10">
        <v>5</v>
      </c>
      <c r="H164" s="10">
        <v>1</v>
      </c>
      <c r="I164" s="13"/>
      <c r="J164" s="13" t="s">
        <v>167</v>
      </c>
      <c r="K164" s="13"/>
      <c r="L164" s="4">
        <v>10513</v>
      </c>
      <c r="M164" s="4">
        <v>0</v>
      </c>
      <c r="N164" s="4">
        <f t="shared" si="12"/>
        <v>11205</v>
      </c>
      <c r="O164" s="4">
        <v>1</v>
      </c>
      <c r="P164" s="4">
        <v>0</v>
      </c>
      <c r="Q164" s="4">
        <v>1</v>
      </c>
      <c r="R164" s="7" t="str">
        <f>"&lt;color=#"&amp;VLOOKUP(E164,[1]品质主表!$B$6:$C$13,2,FALSE)&amp;"&gt;"&amp;C164&amp;"&lt;/color&gt;"</f>
        <v>&lt;color=#ff8000&gt;不动如山&lt;/color&gt;</v>
      </c>
      <c r="S164" t="s">
        <v>613</v>
      </c>
    </row>
    <row r="165" spans="2:19" x14ac:dyDescent="0.3">
      <c r="B165" s="1">
        <v>11206</v>
      </c>
      <c r="C165" t="s">
        <v>162</v>
      </c>
      <c r="D165" t="s">
        <v>614</v>
      </c>
      <c r="E165" s="1">
        <v>6</v>
      </c>
      <c r="F165" s="4">
        <v>7</v>
      </c>
      <c r="G165" s="10">
        <v>5</v>
      </c>
      <c r="H165" s="10">
        <v>1</v>
      </c>
      <c r="I165" s="13"/>
      <c r="J165" s="13" t="s">
        <v>168</v>
      </c>
      <c r="K165" s="13"/>
      <c r="L165" s="4">
        <v>10613</v>
      </c>
      <c r="M165" s="4">
        <v>0</v>
      </c>
      <c r="N165" s="4">
        <f t="shared" si="12"/>
        <v>11206</v>
      </c>
      <c r="O165" s="4">
        <v>1</v>
      </c>
      <c r="P165" s="4">
        <v>0</v>
      </c>
      <c r="Q165" s="4">
        <v>1</v>
      </c>
      <c r="R165" s="7" t="str">
        <f>"&lt;color=#"&amp;VLOOKUP(E165,[1]品质主表!$B$6:$C$13,2,FALSE)&amp;"&gt;"&amp;C165&amp;"&lt;/color&gt;"</f>
        <v>&lt;color=#ff4d4d&gt;不动如山&lt;/color&gt;</v>
      </c>
      <c r="S165" t="s">
        <v>614</v>
      </c>
    </row>
    <row r="166" spans="2:19" x14ac:dyDescent="0.3">
      <c r="B166" s="1">
        <v>11207</v>
      </c>
      <c r="C166" t="s">
        <v>162</v>
      </c>
      <c r="D166" t="s">
        <v>615</v>
      </c>
      <c r="E166" s="1">
        <v>7</v>
      </c>
      <c r="F166" s="4">
        <v>7</v>
      </c>
      <c r="G166" s="10">
        <v>5</v>
      </c>
      <c r="H166" s="10">
        <v>1</v>
      </c>
      <c r="I166" s="13"/>
      <c r="J166" s="13" t="s">
        <v>169</v>
      </c>
      <c r="K166" s="13"/>
      <c r="L166" s="4">
        <v>10713</v>
      </c>
      <c r="M166" s="4">
        <v>0</v>
      </c>
      <c r="N166" s="4">
        <f t="shared" si="12"/>
        <v>11207</v>
      </c>
      <c r="O166" s="4">
        <v>1</v>
      </c>
      <c r="P166" s="4">
        <v>0</v>
      </c>
      <c r="Q166" s="4">
        <v>1</v>
      </c>
      <c r="R166" s="7" t="str">
        <f>"&lt;color=#"&amp;VLOOKUP(E166,[1]品质主表!$B$6:$C$13,2,FALSE)&amp;"&gt;"&amp;C166&amp;"&lt;/color&gt;"</f>
        <v>&lt;color=#ff779d&gt;不动如山&lt;/color&gt;</v>
      </c>
      <c r="S166" t="s">
        <v>615</v>
      </c>
    </row>
    <row r="167" spans="2:19" x14ac:dyDescent="0.3">
      <c r="B167" s="1">
        <v>11208</v>
      </c>
      <c r="C167" t="s">
        <v>879</v>
      </c>
      <c r="D167" t="s">
        <v>880</v>
      </c>
      <c r="E167" s="1">
        <v>7</v>
      </c>
      <c r="F167" s="4">
        <v>7</v>
      </c>
      <c r="G167" s="10">
        <v>5</v>
      </c>
      <c r="H167" s="10">
        <v>1</v>
      </c>
      <c r="I167" s="13"/>
      <c r="J167" s="13" t="s">
        <v>839</v>
      </c>
      <c r="K167" s="13"/>
      <c r="L167" s="4">
        <v>10813</v>
      </c>
      <c r="M167" s="4">
        <v>0</v>
      </c>
      <c r="N167" s="4">
        <f t="shared" si="12"/>
        <v>11208</v>
      </c>
      <c r="O167" s="4">
        <v>1</v>
      </c>
      <c r="P167" s="4">
        <v>0</v>
      </c>
      <c r="Q167" s="4">
        <v>1</v>
      </c>
      <c r="R167" s="7" t="str">
        <f>"&lt;color=#"&amp;VLOOKUP(E167,[1]品质主表!$B$6:$C$13,2,FALSE)&amp;"&gt;"&amp;C167&amp;"&lt;/color&gt;"</f>
        <v>&lt;color=#ff779d&gt;神·不动如山&lt;/color&gt;</v>
      </c>
      <c r="S167" t="s">
        <v>880</v>
      </c>
    </row>
    <row r="168" spans="2:19" x14ac:dyDescent="0.3">
      <c r="B168" s="1">
        <v>11301</v>
      </c>
      <c r="C168" t="s">
        <v>170</v>
      </c>
      <c r="D168" t="s">
        <v>616</v>
      </c>
      <c r="E168" s="1">
        <v>1</v>
      </c>
      <c r="F168" s="4">
        <v>7</v>
      </c>
      <c r="G168" s="10">
        <v>5</v>
      </c>
      <c r="H168" s="10">
        <v>1</v>
      </c>
      <c r="I168" s="13"/>
      <c r="J168" s="13" t="s">
        <v>171</v>
      </c>
      <c r="K168" s="13"/>
      <c r="L168" s="4">
        <v>10114</v>
      </c>
      <c r="M168" s="4">
        <v>0</v>
      </c>
      <c r="N168" s="4">
        <f t="shared" si="12"/>
        <v>11301</v>
      </c>
      <c r="O168" s="4">
        <v>1</v>
      </c>
      <c r="P168" s="4">
        <v>0</v>
      </c>
      <c r="Q168" s="4">
        <v>1</v>
      </c>
      <c r="R168" s="7" t="str">
        <f>"&lt;color=#"&amp;VLOOKUP(E168,[1]品质主表!$B$6:$C$13,2,FALSE)&amp;"&gt;"&amp;C168&amp;"&lt;/color&gt;"</f>
        <v>&lt;color=#18e71a&gt;狂暴之力&lt;/color&gt;</v>
      </c>
      <c r="S168" t="s">
        <v>616</v>
      </c>
    </row>
    <row r="169" spans="2:19" x14ac:dyDescent="0.3">
      <c r="B169" s="1">
        <v>11302</v>
      </c>
      <c r="C169" t="s">
        <v>170</v>
      </c>
      <c r="D169" t="s">
        <v>617</v>
      </c>
      <c r="E169" s="1">
        <v>2</v>
      </c>
      <c r="F169" s="4">
        <v>7</v>
      </c>
      <c r="G169" s="10">
        <v>5</v>
      </c>
      <c r="H169" s="10">
        <v>1</v>
      </c>
      <c r="I169" s="13"/>
      <c r="J169" s="13" t="s">
        <v>172</v>
      </c>
      <c r="K169" s="13"/>
      <c r="L169" s="4">
        <v>10214</v>
      </c>
      <c r="M169" s="4">
        <v>0</v>
      </c>
      <c r="N169" s="4">
        <f t="shared" si="12"/>
        <v>11302</v>
      </c>
      <c r="O169" s="4">
        <v>1</v>
      </c>
      <c r="P169" s="4">
        <v>0</v>
      </c>
      <c r="Q169" s="4">
        <v>1</v>
      </c>
      <c r="R169" s="7" t="str">
        <f>"&lt;color=#"&amp;VLOOKUP(E169,[1]品质主表!$B$6:$C$13,2,FALSE)&amp;"&gt;"&amp;C169&amp;"&lt;/color&gt;"</f>
        <v>&lt;color=#40f3ff&gt;狂暴之力&lt;/color&gt;</v>
      </c>
      <c r="S169" t="s">
        <v>617</v>
      </c>
    </row>
    <row r="170" spans="2:19" x14ac:dyDescent="0.3">
      <c r="B170" s="1">
        <v>11303</v>
      </c>
      <c r="C170" t="s">
        <v>170</v>
      </c>
      <c r="D170" t="s">
        <v>618</v>
      </c>
      <c r="E170" s="1">
        <v>3</v>
      </c>
      <c r="F170" s="4">
        <v>7</v>
      </c>
      <c r="G170" s="10">
        <v>5</v>
      </c>
      <c r="H170" s="10">
        <v>1</v>
      </c>
      <c r="I170" s="13"/>
      <c r="J170" s="13" t="s">
        <v>173</v>
      </c>
      <c r="K170" s="13"/>
      <c r="L170" s="4">
        <v>10314</v>
      </c>
      <c r="M170" s="4">
        <v>0</v>
      </c>
      <c r="N170" s="4">
        <f t="shared" si="12"/>
        <v>11303</v>
      </c>
      <c r="O170" s="4">
        <v>1</v>
      </c>
      <c r="P170" s="4">
        <v>0</v>
      </c>
      <c r="Q170" s="4">
        <v>1</v>
      </c>
      <c r="R170" s="7" t="str">
        <f>"&lt;color=#"&amp;VLOOKUP(E170,[1]品质主表!$B$6:$C$13,2,FALSE)&amp;"&gt;"&amp;C170&amp;"&lt;/color&gt;"</f>
        <v>&lt;color=#f044dc&gt;狂暴之力&lt;/color&gt;</v>
      </c>
      <c r="S170" t="s">
        <v>618</v>
      </c>
    </row>
    <row r="171" spans="2:19" x14ac:dyDescent="0.3">
      <c r="B171" s="1">
        <v>11304</v>
      </c>
      <c r="C171" t="s">
        <v>170</v>
      </c>
      <c r="D171" t="s">
        <v>619</v>
      </c>
      <c r="E171" s="1">
        <v>4</v>
      </c>
      <c r="F171" s="4">
        <v>7</v>
      </c>
      <c r="G171" s="10">
        <v>5</v>
      </c>
      <c r="H171" s="10">
        <v>1</v>
      </c>
      <c r="I171" s="13"/>
      <c r="J171" s="13" t="s">
        <v>174</v>
      </c>
      <c r="K171" s="13"/>
      <c r="L171" s="4">
        <v>10414</v>
      </c>
      <c r="M171" s="4">
        <v>0</v>
      </c>
      <c r="N171" s="4">
        <f t="shared" si="12"/>
        <v>11304</v>
      </c>
      <c r="O171" s="4">
        <v>1</v>
      </c>
      <c r="P171" s="4">
        <v>0</v>
      </c>
      <c r="Q171" s="4">
        <v>1</v>
      </c>
      <c r="R171" s="7" t="str">
        <f>"&lt;color=#"&amp;VLOOKUP(E171,[1]品质主表!$B$6:$C$13,2,FALSE)&amp;"&gt;"&amp;C171&amp;"&lt;/color&gt;"</f>
        <v>&lt;color=#edde00&gt;狂暴之力&lt;/color&gt;</v>
      </c>
      <c r="S171" t="s">
        <v>619</v>
      </c>
    </row>
    <row r="172" spans="2:19" x14ac:dyDescent="0.3">
      <c r="B172" s="1">
        <v>11305</v>
      </c>
      <c r="C172" t="s">
        <v>170</v>
      </c>
      <c r="D172" t="s">
        <v>620</v>
      </c>
      <c r="E172" s="1">
        <v>5</v>
      </c>
      <c r="F172" s="4">
        <v>7</v>
      </c>
      <c r="G172" s="10">
        <v>5</v>
      </c>
      <c r="H172" s="10">
        <v>1</v>
      </c>
      <c r="I172" s="13"/>
      <c r="J172" s="13" t="s">
        <v>175</v>
      </c>
      <c r="K172" s="13"/>
      <c r="L172" s="4">
        <v>10514</v>
      </c>
      <c r="M172" s="4">
        <v>0</v>
      </c>
      <c r="N172" s="4">
        <f t="shared" si="12"/>
        <v>11305</v>
      </c>
      <c r="O172" s="4">
        <v>1</v>
      </c>
      <c r="P172" s="4">
        <v>0</v>
      </c>
      <c r="Q172" s="4">
        <v>1</v>
      </c>
      <c r="R172" s="7" t="str">
        <f>"&lt;color=#"&amp;VLOOKUP(E172,[1]品质主表!$B$6:$C$13,2,FALSE)&amp;"&gt;"&amp;C172&amp;"&lt;/color&gt;"</f>
        <v>&lt;color=#ff8000&gt;狂暴之力&lt;/color&gt;</v>
      </c>
      <c r="S172" t="s">
        <v>620</v>
      </c>
    </row>
    <row r="173" spans="2:19" x14ac:dyDescent="0.3">
      <c r="B173" s="1">
        <v>11306</v>
      </c>
      <c r="C173" t="s">
        <v>170</v>
      </c>
      <c r="D173" t="s">
        <v>621</v>
      </c>
      <c r="E173" s="1">
        <v>6</v>
      </c>
      <c r="F173" s="4">
        <v>7</v>
      </c>
      <c r="G173" s="10">
        <v>5</v>
      </c>
      <c r="H173" s="10">
        <v>1</v>
      </c>
      <c r="I173" s="13"/>
      <c r="J173" s="13" t="s">
        <v>176</v>
      </c>
      <c r="K173" s="13"/>
      <c r="L173" s="4">
        <v>10614</v>
      </c>
      <c r="M173" s="4">
        <v>0</v>
      </c>
      <c r="N173" s="4">
        <f t="shared" si="12"/>
        <v>11306</v>
      </c>
      <c r="O173" s="4">
        <v>1</v>
      </c>
      <c r="P173" s="4">
        <v>0</v>
      </c>
      <c r="Q173" s="4">
        <v>1</v>
      </c>
      <c r="R173" s="7" t="str">
        <f>"&lt;color=#"&amp;VLOOKUP(E173,[1]品质主表!$B$6:$C$13,2,FALSE)&amp;"&gt;"&amp;C173&amp;"&lt;/color&gt;"</f>
        <v>&lt;color=#ff4d4d&gt;狂暴之力&lt;/color&gt;</v>
      </c>
      <c r="S173" t="s">
        <v>621</v>
      </c>
    </row>
    <row r="174" spans="2:19" x14ac:dyDescent="0.3">
      <c r="B174" s="1">
        <v>11307</v>
      </c>
      <c r="C174" t="s">
        <v>170</v>
      </c>
      <c r="D174" t="s">
        <v>622</v>
      </c>
      <c r="E174" s="1">
        <v>7</v>
      </c>
      <c r="F174" s="4">
        <v>7</v>
      </c>
      <c r="G174" s="10">
        <v>5</v>
      </c>
      <c r="H174" s="10">
        <v>1</v>
      </c>
      <c r="I174" s="13"/>
      <c r="J174" s="13" t="s">
        <v>177</v>
      </c>
      <c r="K174" s="13"/>
      <c r="L174" s="4">
        <v>10714</v>
      </c>
      <c r="M174" s="4">
        <v>0</v>
      </c>
      <c r="N174" s="4">
        <f t="shared" si="12"/>
        <v>11307</v>
      </c>
      <c r="O174" s="4">
        <v>1</v>
      </c>
      <c r="P174" s="4">
        <v>0</v>
      </c>
      <c r="Q174" s="4">
        <v>1</v>
      </c>
      <c r="R174" s="7" t="str">
        <f>"&lt;color=#"&amp;VLOOKUP(E174,[1]品质主表!$B$6:$C$13,2,FALSE)&amp;"&gt;"&amp;C174&amp;"&lt;/color&gt;"</f>
        <v>&lt;color=#ff779d&gt;狂暴之力&lt;/color&gt;</v>
      </c>
      <c r="S174" t="s">
        <v>622</v>
      </c>
    </row>
    <row r="175" spans="2:19" x14ac:dyDescent="0.3">
      <c r="B175" s="1">
        <v>11308</v>
      </c>
      <c r="C175" t="s">
        <v>881</v>
      </c>
      <c r="D175" t="s">
        <v>882</v>
      </c>
      <c r="E175" s="1">
        <v>7</v>
      </c>
      <c r="F175" s="4">
        <v>7</v>
      </c>
      <c r="G175" s="10">
        <v>5</v>
      </c>
      <c r="H175" s="10">
        <v>1</v>
      </c>
      <c r="I175" s="13"/>
      <c r="J175" s="13" t="s">
        <v>840</v>
      </c>
      <c r="K175" s="13"/>
      <c r="L175" s="4">
        <v>10814</v>
      </c>
      <c r="M175" s="4">
        <v>0</v>
      </c>
      <c r="N175" s="4">
        <f t="shared" si="12"/>
        <v>11308</v>
      </c>
      <c r="O175" s="4">
        <v>1</v>
      </c>
      <c r="P175" s="4">
        <v>0</v>
      </c>
      <c r="Q175" s="4">
        <v>1</v>
      </c>
      <c r="R175" s="7" t="str">
        <f>"&lt;color=#"&amp;VLOOKUP(E175,[1]品质主表!$B$6:$C$13,2,FALSE)&amp;"&gt;"&amp;C175&amp;"&lt;/color&gt;"</f>
        <v>&lt;color=#ff779d&gt;神·狂暴之力&lt;/color&gt;</v>
      </c>
      <c r="S175" t="s">
        <v>882</v>
      </c>
    </row>
    <row r="176" spans="2:19" x14ac:dyDescent="0.3">
      <c r="B176" s="1">
        <v>11401</v>
      </c>
      <c r="C176" t="s">
        <v>178</v>
      </c>
      <c r="D176" t="s">
        <v>458</v>
      </c>
      <c r="E176" s="1">
        <v>1</v>
      </c>
      <c r="F176" s="4">
        <v>7</v>
      </c>
      <c r="G176" s="10">
        <v>5</v>
      </c>
      <c r="H176" s="10">
        <v>1</v>
      </c>
      <c r="I176" s="13"/>
      <c r="J176" s="13" t="s">
        <v>179</v>
      </c>
      <c r="K176" s="13"/>
      <c r="L176" s="4">
        <v>10115</v>
      </c>
      <c r="M176" s="4">
        <v>0</v>
      </c>
      <c r="N176" s="4">
        <f t="shared" si="12"/>
        <v>11401</v>
      </c>
      <c r="O176" s="4">
        <v>1</v>
      </c>
      <c r="P176" s="4">
        <v>0</v>
      </c>
      <c r="Q176" s="4">
        <v>1</v>
      </c>
      <c r="R176" s="7" t="str">
        <f>"&lt;color=#"&amp;VLOOKUP(E176,[1]品质主表!$B$6:$C$13,2,FALSE)&amp;"&gt;"&amp;C176&amp;"&lt;/color&gt;"</f>
        <v>&lt;color=#18e71a&gt;灵盾护体&lt;/color&gt;</v>
      </c>
      <c r="S176" t="s">
        <v>458</v>
      </c>
    </row>
    <row r="177" spans="2:19" x14ac:dyDescent="0.3">
      <c r="B177" s="1">
        <v>11402</v>
      </c>
      <c r="C177" t="s">
        <v>178</v>
      </c>
      <c r="D177" t="s">
        <v>459</v>
      </c>
      <c r="E177" s="1">
        <v>2</v>
      </c>
      <c r="F177" s="4">
        <v>7</v>
      </c>
      <c r="G177" s="10">
        <v>5</v>
      </c>
      <c r="H177" s="10">
        <v>1</v>
      </c>
      <c r="I177" s="13"/>
      <c r="J177" s="13" t="s">
        <v>180</v>
      </c>
      <c r="K177" s="13"/>
      <c r="L177" s="4">
        <v>10215</v>
      </c>
      <c r="M177" s="4">
        <v>0</v>
      </c>
      <c r="N177" s="4">
        <f t="shared" si="12"/>
        <v>11402</v>
      </c>
      <c r="O177" s="4">
        <v>1</v>
      </c>
      <c r="P177" s="4">
        <v>0</v>
      </c>
      <c r="Q177" s="4">
        <v>1</v>
      </c>
      <c r="R177" s="7" t="str">
        <f>"&lt;color=#"&amp;VLOOKUP(E177,[1]品质主表!$B$6:$C$13,2,FALSE)&amp;"&gt;"&amp;C177&amp;"&lt;/color&gt;"</f>
        <v>&lt;color=#40f3ff&gt;灵盾护体&lt;/color&gt;</v>
      </c>
      <c r="S177" t="s">
        <v>459</v>
      </c>
    </row>
    <row r="178" spans="2:19" x14ac:dyDescent="0.3">
      <c r="B178" s="1">
        <v>11403</v>
      </c>
      <c r="C178" t="s">
        <v>178</v>
      </c>
      <c r="D178" t="s">
        <v>460</v>
      </c>
      <c r="E178" s="1">
        <v>3</v>
      </c>
      <c r="F178" s="4">
        <v>7</v>
      </c>
      <c r="G178" s="10">
        <v>5</v>
      </c>
      <c r="H178" s="10">
        <v>1</v>
      </c>
      <c r="I178" s="13"/>
      <c r="J178" s="13" t="s">
        <v>181</v>
      </c>
      <c r="K178" s="13"/>
      <c r="L178" s="4">
        <v>10315</v>
      </c>
      <c r="M178" s="4">
        <v>0</v>
      </c>
      <c r="N178" s="4">
        <f t="shared" si="12"/>
        <v>11403</v>
      </c>
      <c r="O178" s="4">
        <v>1</v>
      </c>
      <c r="P178" s="4">
        <v>0</v>
      </c>
      <c r="Q178" s="4">
        <v>1</v>
      </c>
      <c r="R178" s="7" t="str">
        <f>"&lt;color=#"&amp;VLOOKUP(E178,[1]品质主表!$B$6:$C$13,2,FALSE)&amp;"&gt;"&amp;C178&amp;"&lt;/color&gt;"</f>
        <v>&lt;color=#f044dc&gt;灵盾护体&lt;/color&gt;</v>
      </c>
      <c r="S178" t="s">
        <v>460</v>
      </c>
    </row>
    <row r="179" spans="2:19" x14ac:dyDescent="0.3">
      <c r="B179" s="1">
        <v>11404</v>
      </c>
      <c r="C179" t="s">
        <v>178</v>
      </c>
      <c r="D179" t="s">
        <v>461</v>
      </c>
      <c r="E179" s="1">
        <v>4</v>
      </c>
      <c r="F179" s="4">
        <v>7</v>
      </c>
      <c r="G179" s="10">
        <v>5</v>
      </c>
      <c r="H179" s="10">
        <v>1</v>
      </c>
      <c r="I179" s="13"/>
      <c r="J179" s="13" t="s">
        <v>182</v>
      </c>
      <c r="K179" s="13"/>
      <c r="L179" s="4">
        <v>10415</v>
      </c>
      <c r="M179" s="4">
        <v>0</v>
      </c>
      <c r="N179" s="4">
        <f t="shared" si="12"/>
        <v>11404</v>
      </c>
      <c r="O179" s="4">
        <v>1</v>
      </c>
      <c r="P179" s="4">
        <v>0</v>
      </c>
      <c r="Q179" s="4">
        <v>1</v>
      </c>
      <c r="R179" s="7" t="str">
        <f>"&lt;color=#"&amp;VLOOKUP(E179,[1]品质主表!$B$6:$C$13,2,FALSE)&amp;"&gt;"&amp;C179&amp;"&lt;/color&gt;"</f>
        <v>&lt;color=#edde00&gt;灵盾护体&lt;/color&gt;</v>
      </c>
      <c r="S179" t="s">
        <v>461</v>
      </c>
    </row>
    <row r="180" spans="2:19" x14ac:dyDescent="0.3">
      <c r="B180" s="1">
        <v>11405</v>
      </c>
      <c r="C180" t="s">
        <v>178</v>
      </c>
      <c r="D180" t="s">
        <v>462</v>
      </c>
      <c r="E180" s="1">
        <v>5</v>
      </c>
      <c r="F180" s="4">
        <v>7</v>
      </c>
      <c r="G180" s="10">
        <v>5</v>
      </c>
      <c r="H180" s="10">
        <v>1</v>
      </c>
      <c r="I180" s="13"/>
      <c r="J180" s="13" t="s">
        <v>183</v>
      </c>
      <c r="K180" s="13"/>
      <c r="L180" s="4">
        <v>10515</v>
      </c>
      <c r="M180" s="4">
        <v>0</v>
      </c>
      <c r="N180" s="4">
        <f t="shared" si="12"/>
        <v>11405</v>
      </c>
      <c r="O180" s="4">
        <v>1</v>
      </c>
      <c r="P180" s="4">
        <v>0</v>
      </c>
      <c r="Q180" s="4">
        <v>1</v>
      </c>
      <c r="R180" s="7" t="str">
        <f>"&lt;color=#"&amp;VLOOKUP(E180,[1]品质主表!$B$6:$C$13,2,FALSE)&amp;"&gt;"&amp;C180&amp;"&lt;/color&gt;"</f>
        <v>&lt;color=#ff8000&gt;灵盾护体&lt;/color&gt;</v>
      </c>
      <c r="S180" t="s">
        <v>462</v>
      </c>
    </row>
    <row r="181" spans="2:19" x14ac:dyDescent="0.3">
      <c r="B181" s="1">
        <v>11406</v>
      </c>
      <c r="C181" t="s">
        <v>178</v>
      </c>
      <c r="D181" t="s">
        <v>463</v>
      </c>
      <c r="E181" s="1">
        <v>6</v>
      </c>
      <c r="F181" s="4">
        <v>7</v>
      </c>
      <c r="G181" s="10">
        <v>5</v>
      </c>
      <c r="H181" s="10">
        <v>1</v>
      </c>
      <c r="I181" s="13"/>
      <c r="J181" s="13" t="s">
        <v>184</v>
      </c>
      <c r="K181" s="13"/>
      <c r="L181" s="4">
        <v>10615</v>
      </c>
      <c r="M181" s="4">
        <v>0</v>
      </c>
      <c r="N181" s="4">
        <f t="shared" si="12"/>
        <v>11406</v>
      </c>
      <c r="O181" s="4">
        <v>1</v>
      </c>
      <c r="P181" s="4">
        <v>0</v>
      </c>
      <c r="Q181" s="4">
        <v>1</v>
      </c>
      <c r="R181" s="7" t="str">
        <f>"&lt;color=#"&amp;VLOOKUP(E181,[1]品质主表!$B$6:$C$13,2,FALSE)&amp;"&gt;"&amp;C181&amp;"&lt;/color&gt;"</f>
        <v>&lt;color=#ff4d4d&gt;灵盾护体&lt;/color&gt;</v>
      </c>
      <c r="S181" t="s">
        <v>463</v>
      </c>
    </row>
    <row r="182" spans="2:19" x14ac:dyDescent="0.3">
      <c r="B182" s="1">
        <v>11407</v>
      </c>
      <c r="C182" t="s">
        <v>178</v>
      </c>
      <c r="D182" s="16" t="s">
        <v>464</v>
      </c>
      <c r="E182" s="1">
        <v>7</v>
      </c>
      <c r="F182" s="4">
        <v>7</v>
      </c>
      <c r="G182" s="10">
        <v>5</v>
      </c>
      <c r="H182" s="10">
        <v>1</v>
      </c>
      <c r="I182" s="13"/>
      <c r="J182" s="13" t="s">
        <v>185</v>
      </c>
      <c r="K182" s="13"/>
      <c r="L182" s="4">
        <v>10715</v>
      </c>
      <c r="M182" s="4">
        <v>0</v>
      </c>
      <c r="N182" s="4">
        <f t="shared" si="12"/>
        <v>11407</v>
      </c>
      <c r="O182" s="4">
        <v>1</v>
      </c>
      <c r="P182" s="4">
        <v>0</v>
      </c>
      <c r="Q182" s="4">
        <v>1</v>
      </c>
      <c r="R182" s="7" t="str">
        <f>"&lt;color=#"&amp;VLOOKUP(E182,[1]品质主表!$B$6:$C$13,2,FALSE)&amp;"&gt;"&amp;C182&amp;"&lt;/color&gt;"</f>
        <v>&lt;color=#ff779d&gt;灵盾护体&lt;/color&gt;</v>
      </c>
      <c r="S182" t="s">
        <v>464</v>
      </c>
    </row>
    <row r="183" spans="2:19" x14ac:dyDescent="0.3">
      <c r="B183" s="1">
        <v>11408</v>
      </c>
      <c r="C183" t="s">
        <v>883</v>
      </c>
      <c r="D183" s="16" t="s">
        <v>884</v>
      </c>
      <c r="E183" s="1">
        <v>7</v>
      </c>
      <c r="F183" s="4">
        <v>7</v>
      </c>
      <c r="G183" s="10">
        <v>5</v>
      </c>
      <c r="H183" s="10">
        <v>1</v>
      </c>
      <c r="I183" s="13"/>
      <c r="J183" s="13" t="s">
        <v>841</v>
      </c>
      <c r="K183" s="13"/>
      <c r="L183" s="4">
        <v>10815</v>
      </c>
      <c r="M183" s="4">
        <v>0</v>
      </c>
      <c r="N183" s="4">
        <f t="shared" si="12"/>
        <v>11408</v>
      </c>
      <c r="O183" s="4">
        <v>1</v>
      </c>
      <c r="P183" s="4">
        <v>0</v>
      </c>
      <c r="Q183" s="4">
        <v>1</v>
      </c>
      <c r="R183" s="7" t="str">
        <f>"&lt;color=#"&amp;VLOOKUP(E183,[1]品质主表!$B$6:$C$13,2,FALSE)&amp;"&gt;"&amp;C183&amp;"&lt;/color&gt;"</f>
        <v>&lt;color=#ff779d&gt;神·灵盾护体&lt;/color&gt;</v>
      </c>
      <c r="S183" t="s">
        <v>884</v>
      </c>
    </row>
    <row r="184" spans="2:19" x14ac:dyDescent="0.3">
      <c r="B184" s="1">
        <v>11501</v>
      </c>
      <c r="C184" t="s">
        <v>186</v>
      </c>
      <c r="D184" t="s">
        <v>928</v>
      </c>
      <c r="E184" s="1">
        <v>1</v>
      </c>
      <c r="F184" s="4">
        <v>7</v>
      </c>
      <c r="G184" s="10">
        <v>5</v>
      </c>
      <c r="H184" s="10">
        <v>1</v>
      </c>
      <c r="I184" s="13"/>
      <c r="J184" s="13" t="s">
        <v>187</v>
      </c>
      <c r="K184" s="13"/>
      <c r="L184" s="4">
        <v>10116</v>
      </c>
      <c r="M184" s="4">
        <v>0</v>
      </c>
      <c r="N184" s="4">
        <f t="shared" si="12"/>
        <v>11501</v>
      </c>
      <c r="O184" s="4">
        <v>1</v>
      </c>
      <c r="P184" s="4">
        <v>0</v>
      </c>
      <c r="Q184" s="4">
        <v>1</v>
      </c>
      <c r="R184" s="7" t="str">
        <f>"&lt;color=#"&amp;VLOOKUP(E184,[1]品质主表!$B$6:$C$13,2,FALSE)&amp;"&gt;"&amp;C184&amp;"&lt;/color&gt;"</f>
        <v>&lt;color=#18e71a&gt;血祭魔功&lt;/color&gt;</v>
      </c>
      <c r="S184" t="s">
        <v>928</v>
      </c>
    </row>
    <row r="185" spans="2:19" x14ac:dyDescent="0.3">
      <c r="B185" s="1">
        <v>11502</v>
      </c>
      <c r="C185" t="s">
        <v>186</v>
      </c>
      <c r="D185" t="s">
        <v>929</v>
      </c>
      <c r="E185" s="1">
        <v>2</v>
      </c>
      <c r="F185" s="4">
        <v>7</v>
      </c>
      <c r="G185" s="10">
        <v>5</v>
      </c>
      <c r="H185" s="10">
        <v>1</v>
      </c>
      <c r="I185" s="13"/>
      <c r="J185" s="13" t="s">
        <v>188</v>
      </c>
      <c r="K185" s="13"/>
      <c r="L185" s="4">
        <v>10216</v>
      </c>
      <c r="M185" s="4">
        <v>0</v>
      </c>
      <c r="N185" s="4">
        <f t="shared" si="12"/>
        <v>11502</v>
      </c>
      <c r="O185" s="4">
        <v>1</v>
      </c>
      <c r="P185" s="4">
        <v>0</v>
      </c>
      <c r="Q185" s="4">
        <v>1</v>
      </c>
      <c r="R185" s="7" t="str">
        <f>"&lt;color=#"&amp;VLOOKUP(E185,[1]品质主表!$B$6:$C$13,2,FALSE)&amp;"&gt;"&amp;C185&amp;"&lt;/color&gt;"</f>
        <v>&lt;color=#40f3ff&gt;血祭魔功&lt;/color&gt;</v>
      </c>
      <c r="S185" t="s">
        <v>929</v>
      </c>
    </row>
    <row r="186" spans="2:19" x14ac:dyDescent="0.3">
      <c r="B186" s="1">
        <v>11503</v>
      </c>
      <c r="C186" t="s">
        <v>186</v>
      </c>
      <c r="D186" t="s">
        <v>930</v>
      </c>
      <c r="E186" s="1">
        <v>3</v>
      </c>
      <c r="F186" s="4">
        <v>7</v>
      </c>
      <c r="G186" s="10">
        <v>5</v>
      </c>
      <c r="H186" s="10">
        <v>1</v>
      </c>
      <c r="I186" s="13"/>
      <c r="J186" s="13" t="s">
        <v>189</v>
      </c>
      <c r="K186" s="13"/>
      <c r="L186" s="4">
        <v>10316</v>
      </c>
      <c r="M186" s="4">
        <v>0</v>
      </c>
      <c r="N186" s="4">
        <f t="shared" si="12"/>
        <v>11503</v>
      </c>
      <c r="O186" s="4">
        <v>1</v>
      </c>
      <c r="P186" s="4">
        <v>0</v>
      </c>
      <c r="Q186" s="4">
        <v>1</v>
      </c>
      <c r="R186" s="7" t="str">
        <f>"&lt;color=#"&amp;VLOOKUP(E186,[1]品质主表!$B$6:$C$13,2,FALSE)&amp;"&gt;"&amp;C186&amp;"&lt;/color&gt;"</f>
        <v>&lt;color=#f044dc&gt;血祭魔功&lt;/color&gt;</v>
      </c>
      <c r="S186" t="s">
        <v>930</v>
      </c>
    </row>
    <row r="187" spans="2:19" x14ac:dyDescent="0.3">
      <c r="B187" s="1">
        <v>11504</v>
      </c>
      <c r="C187" t="s">
        <v>186</v>
      </c>
      <c r="D187" t="s">
        <v>931</v>
      </c>
      <c r="E187" s="1">
        <v>4</v>
      </c>
      <c r="F187" s="4">
        <v>7</v>
      </c>
      <c r="G187" s="10">
        <v>5</v>
      </c>
      <c r="H187" s="10">
        <v>1</v>
      </c>
      <c r="I187" s="13"/>
      <c r="J187" s="13" t="s">
        <v>190</v>
      </c>
      <c r="K187" s="13"/>
      <c r="L187" s="4">
        <v>10416</v>
      </c>
      <c r="M187" s="4">
        <v>0</v>
      </c>
      <c r="N187" s="4">
        <f t="shared" si="12"/>
        <v>11504</v>
      </c>
      <c r="O187" s="4">
        <v>1</v>
      </c>
      <c r="P187" s="4">
        <v>0</v>
      </c>
      <c r="Q187" s="4">
        <v>1</v>
      </c>
      <c r="R187" s="7" t="str">
        <f>"&lt;color=#"&amp;VLOOKUP(E187,[1]品质主表!$B$6:$C$13,2,FALSE)&amp;"&gt;"&amp;C187&amp;"&lt;/color&gt;"</f>
        <v>&lt;color=#edde00&gt;血祭魔功&lt;/color&gt;</v>
      </c>
      <c r="S187" t="s">
        <v>931</v>
      </c>
    </row>
    <row r="188" spans="2:19" x14ac:dyDescent="0.3">
      <c r="B188" s="1">
        <v>11505</v>
      </c>
      <c r="C188" t="s">
        <v>186</v>
      </c>
      <c r="D188" t="s">
        <v>932</v>
      </c>
      <c r="E188" s="1">
        <v>5</v>
      </c>
      <c r="F188" s="4">
        <v>7</v>
      </c>
      <c r="G188" s="10">
        <v>5</v>
      </c>
      <c r="H188" s="10">
        <v>1</v>
      </c>
      <c r="I188" s="13"/>
      <c r="J188" s="13" t="s">
        <v>191</v>
      </c>
      <c r="K188" s="13"/>
      <c r="L188" s="4">
        <v>10516</v>
      </c>
      <c r="M188" s="4">
        <v>0</v>
      </c>
      <c r="N188" s="4">
        <f t="shared" si="12"/>
        <v>11505</v>
      </c>
      <c r="O188" s="4">
        <v>1</v>
      </c>
      <c r="P188" s="4">
        <v>0</v>
      </c>
      <c r="Q188" s="4">
        <v>1</v>
      </c>
      <c r="R188" s="7" t="str">
        <f>"&lt;color=#"&amp;VLOOKUP(E188,[1]品质主表!$B$6:$C$13,2,FALSE)&amp;"&gt;"&amp;C188&amp;"&lt;/color&gt;"</f>
        <v>&lt;color=#ff8000&gt;血祭魔功&lt;/color&gt;</v>
      </c>
      <c r="S188" t="s">
        <v>932</v>
      </c>
    </row>
    <row r="189" spans="2:19" x14ac:dyDescent="0.3">
      <c r="B189" s="1">
        <v>11506</v>
      </c>
      <c r="C189" t="s">
        <v>186</v>
      </c>
      <c r="D189" t="s">
        <v>933</v>
      </c>
      <c r="E189" s="1">
        <v>6</v>
      </c>
      <c r="F189" s="4">
        <v>7</v>
      </c>
      <c r="G189" s="10">
        <v>5</v>
      </c>
      <c r="H189" s="10">
        <v>1</v>
      </c>
      <c r="I189" s="13"/>
      <c r="J189" s="13" t="s">
        <v>192</v>
      </c>
      <c r="K189" s="13"/>
      <c r="L189" s="4">
        <v>10616</v>
      </c>
      <c r="M189" s="4">
        <v>0</v>
      </c>
      <c r="N189" s="4">
        <f t="shared" si="12"/>
        <v>11506</v>
      </c>
      <c r="O189" s="4">
        <v>1</v>
      </c>
      <c r="P189" s="4">
        <v>0</v>
      </c>
      <c r="Q189" s="4">
        <v>1</v>
      </c>
      <c r="R189" s="7" t="str">
        <f>"&lt;color=#"&amp;VLOOKUP(E189,[1]品质主表!$B$6:$C$13,2,FALSE)&amp;"&gt;"&amp;C189&amp;"&lt;/color&gt;"</f>
        <v>&lt;color=#ff4d4d&gt;血祭魔功&lt;/color&gt;</v>
      </c>
      <c r="S189" t="s">
        <v>933</v>
      </c>
    </row>
    <row r="190" spans="2:19" x14ac:dyDescent="0.3">
      <c r="B190" s="1">
        <v>11507</v>
      </c>
      <c r="C190" t="s">
        <v>186</v>
      </c>
      <c r="D190" t="s">
        <v>934</v>
      </c>
      <c r="E190" s="1">
        <v>7</v>
      </c>
      <c r="F190" s="4">
        <v>7</v>
      </c>
      <c r="G190" s="10">
        <v>5</v>
      </c>
      <c r="H190" s="10">
        <v>1</v>
      </c>
      <c r="I190" s="13"/>
      <c r="J190" s="13" t="s">
        <v>193</v>
      </c>
      <c r="K190" s="13"/>
      <c r="L190" s="4">
        <v>10716</v>
      </c>
      <c r="M190" s="4">
        <v>0</v>
      </c>
      <c r="N190" s="4">
        <f t="shared" si="12"/>
        <v>11507</v>
      </c>
      <c r="O190" s="4">
        <v>1</v>
      </c>
      <c r="P190" s="4">
        <v>0</v>
      </c>
      <c r="Q190" s="4">
        <v>1</v>
      </c>
      <c r="R190" s="7" t="str">
        <f>"&lt;color=#"&amp;VLOOKUP(E190,[1]品质主表!$B$6:$C$13,2,FALSE)&amp;"&gt;"&amp;C190&amp;"&lt;/color&gt;"</f>
        <v>&lt;color=#ff779d&gt;血祭魔功&lt;/color&gt;</v>
      </c>
      <c r="S190" t="s">
        <v>934</v>
      </c>
    </row>
    <row r="191" spans="2:19" x14ac:dyDescent="0.3">
      <c r="B191" s="1">
        <v>11508</v>
      </c>
      <c r="C191" t="s">
        <v>885</v>
      </c>
      <c r="D191" t="s">
        <v>935</v>
      </c>
      <c r="E191" s="1">
        <v>7</v>
      </c>
      <c r="F191" s="4">
        <v>7</v>
      </c>
      <c r="G191" s="10">
        <v>5</v>
      </c>
      <c r="H191" s="10">
        <v>1</v>
      </c>
      <c r="I191" s="13"/>
      <c r="J191" s="13" t="s">
        <v>842</v>
      </c>
      <c r="K191" s="13"/>
      <c r="L191" s="4">
        <v>10816</v>
      </c>
      <c r="M191" s="4">
        <v>0</v>
      </c>
      <c r="N191" s="4">
        <f t="shared" si="12"/>
        <v>11508</v>
      </c>
      <c r="O191" s="4">
        <v>1</v>
      </c>
      <c r="P191" s="4">
        <v>0</v>
      </c>
      <c r="Q191" s="4">
        <v>1</v>
      </c>
      <c r="R191" s="7" t="str">
        <f>"&lt;color=#"&amp;VLOOKUP(E191,[1]品质主表!$B$6:$C$13,2,FALSE)&amp;"&gt;"&amp;C191&amp;"&lt;/color&gt;"</f>
        <v>&lt;color=#ff779d&gt;神·血祭魔功&lt;/color&gt;</v>
      </c>
      <c r="S191" t="s">
        <v>935</v>
      </c>
    </row>
    <row r="192" spans="2:19" x14ac:dyDescent="0.3">
      <c r="B192" s="1">
        <v>11601</v>
      </c>
      <c r="C192" t="s">
        <v>194</v>
      </c>
      <c r="D192" t="s">
        <v>465</v>
      </c>
      <c r="E192" s="1">
        <v>1</v>
      </c>
      <c r="F192" s="4">
        <v>7</v>
      </c>
      <c r="G192" s="10">
        <v>5</v>
      </c>
      <c r="H192" s="10">
        <v>1</v>
      </c>
      <c r="I192" s="13"/>
      <c r="J192" s="13" t="s">
        <v>195</v>
      </c>
      <c r="K192" s="13"/>
      <c r="L192" s="4">
        <v>10117</v>
      </c>
      <c r="M192" s="4">
        <v>0</v>
      </c>
      <c r="N192" s="4">
        <f t="shared" ref="N192:N223" si="13">B192</f>
        <v>11601</v>
      </c>
      <c r="O192" s="4">
        <v>1</v>
      </c>
      <c r="P192" s="4">
        <v>0</v>
      </c>
      <c r="Q192" s="4">
        <v>1</v>
      </c>
      <c r="R192" s="7" t="str">
        <f>"&lt;color=#"&amp;VLOOKUP(E192,[1]品质主表!$B$6:$C$13,2,FALSE)&amp;"&gt;"&amp;C192&amp;"&lt;/color&gt;"</f>
        <v>&lt;color=#18e71a&gt;长生真诀&lt;/color&gt;</v>
      </c>
      <c r="S192" t="s">
        <v>465</v>
      </c>
    </row>
    <row r="193" spans="2:19" x14ac:dyDescent="0.3">
      <c r="B193" s="1">
        <v>11602</v>
      </c>
      <c r="C193" t="s">
        <v>194</v>
      </c>
      <c r="D193" t="s">
        <v>466</v>
      </c>
      <c r="E193" s="1">
        <v>2</v>
      </c>
      <c r="F193" s="4">
        <v>7</v>
      </c>
      <c r="G193" s="10">
        <v>5</v>
      </c>
      <c r="H193" s="10">
        <v>1</v>
      </c>
      <c r="I193" s="13"/>
      <c r="J193" s="13" t="s">
        <v>196</v>
      </c>
      <c r="K193" s="13"/>
      <c r="L193" s="4">
        <v>10217</v>
      </c>
      <c r="M193" s="4">
        <v>0</v>
      </c>
      <c r="N193" s="4">
        <f t="shared" si="13"/>
        <v>11602</v>
      </c>
      <c r="O193" s="4">
        <v>1</v>
      </c>
      <c r="P193" s="4">
        <v>0</v>
      </c>
      <c r="Q193" s="4">
        <v>1</v>
      </c>
      <c r="R193" s="7" t="str">
        <f>"&lt;color=#"&amp;VLOOKUP(E193,[1]品质主表!$B$6:$C$13,2,FALSE)&amp;"&gt;"&amp;C193&amp;"&lt;/color&gt;"</f>
        <v>&lt;color=#40f3ff&gt;长生真诀&lt;/color&gt;</v>
      </c>
      <c r="S193" t="s">
        <v>466</v>
      </c>
    </row>
    <row r="194" spans="2:19" x14ac:dyDescent="0.3">
      <c r="B194" s="1">
        <v>11603</v>
      </c>
      <c r="C194" t="s">
        <v>194</v>
      </c>
      <c r="D194" t="s">
        <v>467</v>
      </c>
      <c r="E194" s="1">
        <v>3</v>
      </c>
      <c r="F194" s="4">
        <v>7</v>
      </c>
      <c r="G194" s="10">
        <v>5</v>
      </c>
      <c r="H194" s="10">
        <v>1</v>
      </c>
      <c r="I194" s="13"/>
      <c r="J194" s="13" t="s">
        <v>197</v>
      </c>
      <c r="K194" s="13"/>
      <c r="L194" s="4">
        <v>10317</v>
      </c>
      <c r="M194" s="4">
        <v>0</v>
      </c>
      <c r="N194" s="4">
        <f t="shared" si="13"/>
        <v>11603</v>
      </c>
      <c r="O194" s="4">
        <v>1</v>
      </c>
      <c r="P194" s="4">
        <v>0</v>
      </c>
      <c r="Q194" s="4">
        <v>1</v>
      </c>
      <c r="R194" s="7" t="str">
        <f>"&lt;color=#"&amp;VLOOKUP(E194,[1]品质主表!$B$6:$C$13,2,FALSE)&amp;"&gt;"&amp;C194&amp;"&lt;/color&gt;"</f>
        <v>&lt;color=#f044dc&gt;长生真诀&lt;/color&gt;</v>
      </c>
      <c r="S194" t="s">
        <v>467</v>
      </c>
    </row>
    <row r="195" spans="2:19" x14ac:dyDescent="0.3">
      <c r="B195" s="1">
        <v>11604</v>
      </c>
      <c r="C195" t="s">
        <v>194</v>
      </c>
      <c r="D195" t="s">
        <v>468</v>
      </c>
      <c r="E195" s="1">
        <v>4</v>
      </c>
      <c r="F195" s="4">
        <v>7</v>
      </c>
      <c r="G195" s="10">
        <v>5</v>
      </c>
      <c r="H195" s="10">
        <v>1</v>
      </c>
      <c r="I195" s="13"/>
      <c r="J195" s="13" t="s">
        <v>198</v>
      </c>
      <c r="K195" s="13"/>
      <c r="L195" s="4">
        <v>10417</v>
      </c>
      <c r="M195" s="4">
        <v>0</v>
      </c>
      <c r="N195" s="4">
        <f t="shared" si="13"/>
        <v>11604</v>
      </c>
      <c r="O195" s="4">
        <v>1</v>
      </c>
      <c r="P195" s="4">
        <v>0</v>
      </c>
      <c r="Q195" s="4">
        <v>1</v>
      </c>
      <c r="R195" s="7" t="str">
        <f>"&lt;color=#"&amp;VLOOKUP(E195,[1]品质主表!$B$6:$C$13,2,FALSE)&amp;"&gt;"&amp;C195&amp;"&lt;/color&gt;"</f>
        <v>&lt;color=#edde00&gt;长生真诀&lt;/color&gt;</v>
      </c>
      <c r="S195" t="s">
        <v>468</v>
      </c>
    </row>
    <row r="196" spans="2:19" x14ac:dyDescent="0.3">
      <c r="B196" s="1">
        <v>11605</v>
      </c>
      <c r="C196" t="s">
        <v>194</v>
      </c>
      <c r="D196" t="s">
        <v>469</v>
      </c>
      <c r="E196" s="1">
        <v>5</v>
      </c>
      <c r="F196" s="4">
        <v>7</v>
      </c>
      <c r="G196" s="10">
        <v>5</v>
      </c>
      <c r="H196" s="10">
        <v>1</v>
      </c>
      <c r="I196" s="13"/>
      <c r="J196" s="13" t="s">
        <v>199</v>
      </c>
      <c r="K196" s="13"/>
      <c r="L196" s="4">
        <v>10517</v>
      </c>
      <c r="M196" s="4">
        <v>0</v>
      </c>
      <c r="N196" s="4">
        <f t="shared" si="13"/>
        <v>11605</v>
      </c>
      <c r="O196" s="4">
        <v>1</v>
      </c>
      <c r="P196" s="4">
        <v>0</v>
      </c>
      <c r="Q196" s="4">
        <v>1</v>
      </c>
      <c r="R196" s="7" t="str">
        <f>"&lt;color=#"&amp;VLOOKUP(E196,[1]品质主表!$B$6:$C$13,2,FALSE)&amp;"&gt;"&amp;C196&amp;"&lt;/color&gt;"</f>
        <v>&lt;color=#ff8000&gt;长生真诀&lt;/color&gt;</v>
      </c>
      <c r="S196" t="s">
        <v>469</v>
      </c>
    </row>
    <row r="197" spans="2:19" x14ac:dyDescent="0.3">
      <c r="B197" s="1">
        <v>11606</v>
      </c>
      <c r="C197" t="s">
        <v>194</v>
      </c>
      <c r="D197" t="s">
        <v>470</v>
      </c>
      <c r="E197" s="1">
        <v>6</v>
      </c>
      <c r="F197" s="4">
        <v>7</v>
      </c>
      <c r="G197" s="10">
        <v>5</v>
      </c>
      <c r="H197" s="10">
        <v>1</v>
      </c>
      <c r="I197" s="13"/>
      <c r="J197" s="13" t="s">
        <v>200</v>
      </c>
      <c r="K197" s="13"/>
      <c r="L197" s="4">
        <v>10617</v>
      </c>
      <c r="M197" s="4">
        <v>0</v>
      </c>
      <c r="N197" s="4">
        <f t="shared" si="13"/>
        <v>11606</v>
      </c>
      <c r="O197" s="4">
        <v>1</v>
      </c>
      <c r="P197" s="4">
        <v>0</v>
      </c>
      <c r="Q197" s="4">
        <v>1</v>
      </c>
      <c r="R197" s="7" t="str">
        <f>"&lt;color=#"&amp;VLOOKUP(E197,[1]品质主表!$B$6:$C$13,2,FALSE)&amp;"&gt;"&amp;C197&amp;"&lt;/color&gt;"</f>
        <v>&lt;color=#ff4d4d&gt;长生真诀&lt;/color&gt;</v>
      </c>
      <c r="S197" t="s">
        <v>470</v>
      </c>
    </row>
    <row r="198" spans="2:19" x14ac:dyDescent="0.3">
      <c r="B198" s="1">
        <v>11607</v>
      </c>
      <c r="C198" t="s">
        <v>194</v>
      </c>
      <c r="D198" t="s">
        <v>471</v>
      </c>
      <c r="E198" s="1">
        <v>7</v>
      </c>
      <c r="F198" s="4">
        <v>7</v>
      </c>
      <c r="G198" s="10">
        <v>5</v>
      </c>
      <c r="H198" s="10">
        <v>1</v>
      </c>
      <c r="I198" s="13"/>
      <c r="J198" s="13" t="s">
        <v>201</v>
      </c>
      <c r="K198" s="13"/>
      <c r="L198" s="4">
        <v>10717</v>
      </c>
      <c r="M198" s="4">
        <v>0</v>
      </c>
      <c r="N198" s="4">
        <f t="shared" si="13"/>
        <v>11607</v>
      </c>
      <c r="O198" s="4">
        <v>1</v>
      </c>
      <c r="P198" s="4">
        <v>0</v>
      </c>
      <c r="Q198" s="4">
        <v>1</v>
      </c>
      <c r="R198" s="7" t="str">
        <f>"&lt;color=#"&amp;VLOOKUP(E198,[1]品质主表!$B$6:$C$13,2,FALSE)&amp;"&gt;"&amp;C198&amp;"&lt;/color&gt;"</f>
        <v>&lt;color=#ff779d&gt;长生真诀&lt;/color&gt;</v>
      </c>
      <c r="S198" t="s">
        <v>471</v>
      </c>
    </row>
    <row r="199" spans="2:19" x14ac:dyDescent="0.3">
      <c r="B199" s="1">
        <v>11608</v>
      </c>
      <c r="C199" t="s">
        <v>887</v>
      </c>
      <c r="D199" t="s">
        <v>888</v>
      </c>
      <c r="E199" s="1">
        <v>7</v>
      </c>
      <c r="F199" s="4">
        <v>7</v>
      </c>
      <c r="G199" s="10">
        <v>5</v>
      </c>
      <c r="H199" s="10">
        <v>1</v>
      </c>
      <c r="I199" s="13"/>
      <c r="J199" s="13" t="s">
        <v>843</v>
      </c>
      <c r="K199" s="13"/>
      <c r="L199" s="4">
        <v>10817</v>
      </c>
      <c r="M199" s="4">
        <v>0</v>
      </c>
      <c r="N199" s="4">
        <f t="shared" si="13"/>
        <v>11608</v>
      </c>
      <c r="O199" s="4">
        <v>1</v>
      </c>
      <c r="P199" s="4">
        <v>0</v>
      </c>
      <c r="Q199" s="4">
        <v>1</v>
      </c>
      <c r="R199" s="7" t="str">
        <f>"&lt;color=#"&amp;VLOOKUP(E199,[1]品质主表!$B$6:$C$13,2,FALSE)&amp;"&gt;"&amp;C199&amp;"&lt;/color&gt;"</f>
        <v>&lt;color=#ff779d&gt;神·长生真诀&lt;/color&gt;</v>
      </c>
      <c r="S199" t="s">
        <v>888</v>
      </c>
    </row>
    <row r="200" spans="2:19" x14ac:dyDescent="0.3">
      <c r="B200" s="1">
        <v>11701</v>
      </c>
      <c r="C200" t="s">
        <v>202</v>
      </c>
      <c r="D200" t="s">
        <v>472</v>
      </c>
      <c r="E200" s="1">
        <v>1</v>
      </c>
      <c r="F200" s="4">
        <v>7</v>
      </c>
      <c r="G200" s="10">
        <v>5</v>
      </c>
      <c r="H200" s="10">
        <v>1</v>
      </c>
      <c r="I200" s="13"/>
      <c r="J200" s="13" t="s">
        <v>203</v>
      </c>
      <c r="K200" s="13"/>
      <c r="L200" s="4">
        <v>10118</v>
      </c>
      <c r="M200" s="4">
        <v>0</v>
      </c>
      <c r="N200" s="4">
        <f t="shared" si="13"/>
        <v>11701</v>
      </c>
      <c r="O200" s="4">
        <v>1</v>
      </c>
      <c r="P200" s="4">
        <v>0</v>
      </c>
      <c r="Q200" s="4">
        <v>1</v>
      </c>
      <c r="R200" s="7" t="str">
        <f>"&lt;color=#"&amp;VLOOKUP(E200,[1]品质主表!$B$6:$C$13,2,FALSE)&amp;"&gt;"&amp;C200&amp;"&lt;/color&gt;"</f>
        <v>&lt;color=#18e71a&gt;斗转星移&lt;/color&gt;</v>
      </c>
      <c r="S200" t="s">
        <v>472</v>
      </c>
    </row>
    <row r="201" spans="2:19" x14ac:dyDescent="0.3">
      <c r="B201" s="1">
        <v>11702</v>
      </c>
      <c r="C201" t="s">
        <v>202</v>
      </c>
      <c r="D201" t="s">
        <v>473</v>
      </c>
      <c r="E201" s="1">
        <v>2</v>
      </c>
      <c r="F201" s="4">
        <v>7</v>
      </c>
      <c r="G201" s="10">
        <v>5</v>
      </c>
      <c r="H201" s="10">
        <v>1</v>
      </c>
      <c r="I201" s="13"/>
      <c r="J201" s="13" t="s">
        <v>204</v>
      </c>
      <c r="K201" s="13"/>
      <c r="L201" s="4">
        <v>10218</v>
      </c>
      <c r="M201" s="4">
        <v>0</v>
      </c>
      <c r="N201" s="4">
        <f t="shared" si="13"/>
        <v>11702</v>
      </c>
      <c r="O201" s="4">
        <v>1</v>
      </c>
      <c r="P201" s="4">
        <v>0</v>
      </c>
      <c r="Q201" s="4">
        <v>1</v>
      </c>
      <c r="R201" s="7" t="str">
        <f>"&lt;color=#"&amp;VLOOKUP(E201,[1]品质主表!$B$6:$C$13,2,FALSE)&amp;"&gt;"&amp;C201&amp;"&lt;/color&gt;"</f>
        <v>&lt;color=#40f3ff&gt;斗转星移&lt;/color&gt;</v>
      </c>
      <c r="S201" t="s">
        <v>473</v>
      </c>
    </row>
    <row r="202" spans="2:19" x14ac:dyDescent="0.3">
      <c r="B202" s="1">
        <v>11703</v>
      </c>
      <c r="C202" t="s">
        <v>202</v>
      </c>
      <c r="D202" t="s">
        <v>474</v>
      </c>
      <c r="E202" s="1">
        <v>3</v>
      </c>
      <c r="F202" s="4">
        <v>7</v>
      </c>
      <c r="G202" s="10">
        <v>5</v>
      </c>
      <c r="H202" s="10">
        <v>1</v>
      </c>
      <c r="I202" s="13"/>
      <c r="J202" s="13" t="s">
        <v>205</v>
      </c>
      <c r="K202" s="13"/>
      <c r="L202" s="4">
        <v>10318</v>
      </c>
      <c r="M202" s="4">
        <v>0</v>
      </c>
      <c r="N202" s="4">
        <f t="shared" si="13"/>
        <v>11703</v>
      </c>
      <c r="O202" s="4">
        <v>1</v>
      </c>
      <c r="P202" s="4">
        <v>0</v>
      </c>
      <c r="Q202" s="4">
        <v>1</v>
      </c>
      <c r="R202" s="7" t="str">
        <f>"&lt;color=#"&amp;VLOOKUP(E202,[1]品质主表!$B$6:$C$13,2,FALSE)&amp;"&gt;"&amp;C202&amp;"&lt;/color&gt;"</f>
        <v>&lt;color=#f044dc&gt;斗转星移&lt;/color&gt;</v>
      </c>
      <c r="S202" t="s">
        <v>474</v>
      </c>
    </row>
    <row r="203" spans="2:19" x14ac:dyDescent="0.3">
      <c r="B203" s="1">
        <v>11704</v>
      </c>
      <c r="C203" t="s">
        <v>202</v>
      </c>
      <c r="D203" t="s">
        <v>475</v>
      </c>
      <c r="E203" s="1">
        <v>4</v>
      </c>
      <c r="F203" s="4">
        <v>7</v>
      </c>
      <c r="G203" s="10">
        <v>5</v>
      </c>
      <c r="H203" s="10">
        <v>1</v>
      </c>
      <c r="I203" s="13"/>
      <c r="J203" s="13" t="s">
        <v>206</v>
      </c>
      <c r="K203" s="13"/>
      <c r="L203" s="4">
        <v>10418</v>
      </c>
      <c r="M203" s="4">
        <v>0</v>
      </c>
      <c r="N203" s="4">
        <f t="shared" si="13"/>
        <v>11704</v>
      </c>
      <c r="O203" s="4">
        <v>1</v>
      </c>
      <c r="P203" s="4">
        <v>0</v>
      </c>
      <c r="Q203" s="4">
        <v>1</v>
      </c>
      <c r="R203" s="7" t="str">
        <f>"&lt;color=#"&amp;VLOOKUP(E203,[1]品质主表!$B$6:$C$13,2,FALSE)&amp;"&gt;"&amp;C203&amp;"&lt;/color&gt;"</f>
        <v>&lt;color=#edde00&gt;斗转星移&lt;/color&gt;</v>
      </c>
      <c r="S203" t="s">
        <v>475</v>
      </c>
    </row>
    <row r="204" spans="2:19" x14ac:dyDescent="0.3">
      <c r="B204" s="1">
        <v>11705</v>
      </c>
      <c r="C204" t="s">
        <v>202</v>
      </c>
      <c r="D204" t="s">
        <v>476</v>
      </c>
      <c r="E204" s="1">
        <v>5</v>
      </c>
      <c r="F204" s="4">
        <v>7</v>
      </c>
      <c r="G204" s="10">
        <v>5</v>
      </c>
      <c r="H204" s="10">
        <v>1</v>
      </c>
      <c r="I204" s="13"/>
      <c r="J204" s="13" t="s">
        <v>207</v>
      </c>
      <c r="K204" s="13"/>
      <c r="L204" s="4">
        <v>10518</v>
      </c>
      <c r="M204" s="4">
        <v>0</v>
      </c>
      <c r="N204" s="4">
        <f t="shared" si="13"/>
        <v>11705</v>
      </c>
      <c r="O204" s="4">
        <v>1</v>
      </c>
      <c r="P204" s="4">
        <v>0</v>
      </c>
      <c r="Q204" s="4">
        <v>1</v>
      </c>
      <c r="R204" s="7" t="str">
        <f>"&lt;color=#"&amp;VLOOKUP(E204,[1]品质主表!$B$6:$C$13,2,FALSE)&amp;"&gt;"&amp;C204&amp;"&lt;/color&gt;"</f>
        <v>&lt;color=#ff8000&gt;斗转星移&lt;/color&gt;</v>
      </c>
      <c r="S204" t="s">
        <v>476</v>
      </c>
    </row>
    <row r="205" spans="2:19" x14ac:dyDescent="0.3">
      <c r="B205" s="1">
        <v>11706</v>
      </c>
      <c r="C205" t="s">
        <v>202</v>
      </c>
      <c r="D205" t="s">
        <v>477</v>
      </c>
      <c r="E205" s="1">
        <v>6</v>
      </c>
      <c r="F205" s="4">
        <v>7</v>
      </c>
      <c r="G205" s="10">
        <v>5</v>
      </c>
      <c r="H205" s="10">
        <v>1</v>
      </c>
      <c r="I205" s="13"/>
      <c r="J205" s="13" t="s">
        <v>208</v>
      </c>
      <c r="K205" s="13"/>
      <c r="L205" s="4">
        <v>10618</v>
      </c>
      <c r="M205" s="4">
        <v>0</v>
      </c>
      <c r="N205" s="4">
        <f t="shared" si="13"/>
        <v>11706</v>
      </c>
      <c r="O205" s="4">
        <v>1</v>
      </c>
      <c r="P205" s="4">
        <v>0</v>
      </c>
      <c r="Q205" s="4">
        <v>1</v>
      </c>
      <c r="R205" s="7" t="str">
        <f>"&lt;color=#"&amp;VLOOKUP(E205,[1]品质主表!$B$6:$C$13,2,FALSE)&amp;"&gt;"&amp;C205&amp;"&lt;/color&gt;"</f>
        <v>&lt;color=#ff4d4d&gt;斗转星移&lt;/color&gt;</v>
      </c>
      <c r="S205" t="s">
        <v>477</v>
      </c>
    </row>
    <row r="206" spans="2:19" x14ac:dyDescent="0.3">
      <c r="B206" s="1">
        <v>11707</v>
      </c>
      <c r="C206" t="s">
        <v>202</v>
      </c>
      <c r="D206" t="s">
        <v>478</v>
      </c>
      <c r="E206" s="1">
        <v>7</v>
      </c>
      <c r="F206" s="4">
        <v>7</v>
      </c>
      <c r="G206" s="10">
        <v>5</v>
      </c>
      <c r="H206" s="10">
        <v>1</v>
      </c>
      <c r="I206" s="13"/>
      <c r="J206" s="13" t="s">
        <v>209</v>
      </c>
      <c r="K206" s="13"/>
      <c r="L206" s="4">
        <v>10718</v>
      </c>
      <c r="M206" s="4">
        <v>0</v>
      </c>
      <c r="N206" s="4">
        <f t="shared" si="13"/>
        <v>11707</v>
      </c>
      <c r="O206" s="4">
        <v>1</v>
      </c>
      <c r="P206" s="4">
        <v>0</v>
      </c>
      <c r="Q206" s="4">
        <v>1</v>
      </c>
      <c r="R206" s="7" t="str">
        <f>"&lt;color=#"&amp;VLOOKUP(E206,[1]品质主表!$B$6:$C$13,2,FALSE)&amp;"&gt;"&amp;C206&amp;"&lt;/color&gt;"</f>
        <v>&lt;color=#ff779d&gt;斗转星移&lt;/color&gt;</v>
      </c>
      <c r="S206" t="s">
        <v>478</v>
      </c>
    </row>
    <row r="207" spans="2:19" x14ac:dyDescent="0.3">
      <c r="B207" s="1">
        <v>11708</v>
      </c>
      <c r="C207" t="s">
        <v>889</v>
      </c>
      <c r="D207" t="s">
        <v>890</v>
      </c>
      <c r="E207" s="1">
        <v>7</v>
      </c>
      <c r="F207" s="4">
        <v>7</v>
      </c>
      <c r="G207" s="10">
        <v>5</v>
      </c>
      <c r="H207" s="10">
        <v>1</v>
      </c>
      <c r="I207" s="13"/>
      <c r="J207" s="13" t="s">
        <v>844</v>
      </c>
      <c r="K207" s="13"/>
      <c r="L207" s="4">
        <v>10818</v>
      </c>
      <c r="M207" s="4">
        <v>0</v>
      </c>
      <c r="N207" s="4">
        <f t="shared" si="13"/>
        <v>11708</v>
      </c>
      <c r="O207" s="4">
        <v>1</v>
      </c>
      <c r="P207" s="4">
        <v>0</v>
      </c>
      <c r="Q207" s="4">
        <v>1</v>
      </c>
      <c r="R207" s="7" t="str">
        <f>"&lt;color=#"&amp;VLOOKUP(E207,[1]品质主表!$B$6:$C$13,2,FALSE)&amp;"&gt;"&amp;C207&amp;"&lt;/color&gt;"</f>
        <v>&lt;color=#ff779d&gt;神·斗转星移&lt;/color&gt;</v>
      </c>
      <c r="S207" t="s">
        <v>890</v>
      </c>
    </row>
    <row r="208" spans="2:19" x14ac:dyDescent="0.3">
      <c r="B208" s="1">
        <v>11801</v>
      </c>
      <c r="C208" t="s">
        <v>210</v>
      </c>
      <c r="D208" t="s">
        <v>479</v>
      </c>
      <c r="E208" s="1">
        <v>1</v>
      </c>
      <c r="F208" s="4">
        <v>7</v>
      </c>
      <c r="G208" s="10">
        <v>5</v>
      </c>
      <c r="H208" s="10">
        <v>1</v>
      </c>
      <c r="I208" s="13"/>
      <c r="J208" s="13" t="s">
        <v>211</v>
      </c>
      <c r="K208" s="13"/>
      <c r="L208" s="4">
        <v>10119</v>
      </c>
      <c r="M208" s="4">
        <v>0</v>
      </c>
      <c r="N208" s="4">
        <f t="shared" si="13"/>
        <v>11801</v>
      </c>
      <c r="O208" s="4">
        <v>1</v>
      </c>
      <c r="P208" s="4">
        <v>0</v>
      </c>
      <c r="Q208" s="4">
        <v>1</v>
      </c>
      <c r="R208" s="7" t="str">
        <f>"&lt;color=#"&amp;VLOOKUP(E208,[1]品质主表!$B$6:$C$13,2,FALSE)&amp;"&gt;"&amp;C208&amp;"&lt;/color&gt;"</f>
        <v>&lt;color=#18e71a&gt;太乙神术&lt;/color&gt;</v>
      </c>
      <c r="S208" t="s">
        <v>479</v>
      </c>
    </row>
    <row r="209" spans="2:19" x14ac:dyDescent="0.3">
      <c r="B209" s="1">
        <v>11802</v>
      </c>
      <c r="C209" t="s">
        <v>210</v>
      </c>
      <c r="D209" t="s">
        <v>480</v>
      </c>
      <c r="E209" s="1">
        <v>2</v>
      </c>
      <c r="F209" s="4">
        <v>7</v>
      </c>
      <c r="G209" s="10">
        <v>5</v>
      </c>
      <c r="H209" s="10">
        <v>1</v>
      </c>
      <c r="I209" s="13"/>
      <c r="J209" s="13" t="s">
        <v>212</v>
      </c>
      <c r="K209" s="13"/>
      <c r="L209" s="4">
        <v>10219</v>
      </c>
      <c r="M209" s="4">
        <v>0</v>
      </c>
      <c r="N209" s="4">
        <f t="shared" si="13"/>
        <v>11802</v>
      </c>
      <c r="O209" s="4">
        <v>1</v>
      </c>
      <c r="P209" s="4">
        <v>0</v>
      </c>
      <c r="Q209" s="4">
        <v>1</v>
      </c>
      <c r="R209" s="7" t="str">
        <f>"&lt;color=#"&amp;VLOOKUP(E209,[1]品质主表!$B$6:$C$13,2,FALSE)&amp;"&gt;"&amp;C209&amp;"&lt;/color&gt;"</f>
        <v>&lt;color=#40f3ff&gt;太乙神术&lt;/color&gt;</v>
      </c>
      <c r="S209" t="s">
        <v>480</v>
      </c>
    </row>
    <row r="210" spans="2:19" x14ac:dyDescent="0.3">
      <c r="B210" s="1">
        <v>11803</v>
      </c>
      <c r="C210" t="s">
        <v>210</v>
      </c>
      <c r="D210" t="s">
        <v>481</v>
      </c>
      <c r="E210" s="1">
        <v>3</v>
      </c>
      <c r="F210" s="4">
        <v>7</v>
      </c>
      <c r="G210" s="10">
        <v>5</v>
      </c>
      <c r="H210" s="10">
        <v>1</v>
      </c>
      <c r="I210" s="13"/>
      <c r="J210" s="13" t="s">
        <v>213</v>
      </c>
      <c r="K210" s="13"/>
      <c r="L210" s="4">
        <v>10319</v>
      </c>
      <c r="M210" s="4">
        <v>0</v>
      </c>
      <c r="N210" s="4">
        <f t="shared" si="13"/>
        <v>11803</v>
      </c>
      <c r="O210" s="4">
        <v>1</v>
      </c>
      <c r="P210" s="4">
        <v>0</v>
      </c>
      <c r="Q210" s="4">
        <v>1</v>
      </c>
      <c r="R210" s="7" t="str">
        <f>"&lt;color=#"&amp;VLOOKUP(E210,[1]品质主表!$B$6:$C$13,2,FALSE)&amp;"&gt;"&amp;C210&amp;"&lt;/color&gt;"</f>
        <v>&lt;color=#f044dc&gt;太乙神术&lt;/color&gt;</v>
      </c>
      <c r="S210" t="s">
        <v>481</v>
      </c>
    </row>
    <row r="211" spans="2:19" x14ac:dyDescent="0.3">
      <c r="B211" s="1">
        <v>11804</v>
      </c>
      <c r="C211" t="s">
        <v>210</v>
      </c>
      <c r="D211" t="s">
        <v>482</v>
      </c>
      <c r="E211" s="1">
        <v>4</v>
      </c>
      <c r="F211" s="4">
        <v>7</v>
      </c>
      <c r="G211" s="10">
        <v>5</v>
      </c>
      <c r="H211" s="10">
        <v>1</v>
      </c>
      <c r="I211" s="13"/>
      <c r="J211" s="13" t="s">
        <v>214</v>
      </c>
      <c r="K211" s="13"/>
      <c r="L211" s="4">
        <v>10419</v>
      </c>
      <c r="M211" s="4">
        <v>0</v>
      </c>
      <c r="N211" s="4">
        <f t="shared" si="13"/>
        <v>11804</v>
      </c>
      <c r="O211" s="4">
        <v>1</v>
      </c>
      <c r="P211" s="4">
        <v>0</v>
      </c>
      <c r="Q211" s="4">
        <v>1</v>
      </c>
      <c r="R211" s="7" t="str">
        <f>"&lt;color=#"&amp;VLOOKUP(E211,[1]品质主表!$B$6:$C$13,2,FALSE)&amp;"&gt;"&amp;C211&amp;"&lt;/color&gt;"</f>
        <v>&lt;color=#edde00&gt;太乙神术&lt;/color&gt;</v>
      </c>
      <c r="S211" t="s">
        <v>482</v>
      </c>
    </row>
    <row r="212" spans="2:19" x14ac:dyDescent="0.3">
      <c r="B212" s="1">
        <v>11805</v>
      </c>
      <c r="C212" t="s">
        <v>210</v>
      </c>
      <c r="D212" t="s">
        <v>810</v>
      </c>
      <c r="E212" s="1">
        <v>5</v>
      </c>
      <c r="F212" s="4">
        <v>7</v>
      </c>
      <c r="G212" s="10">
        <v>5</v>
      </c>
      <c r="H212" s="10">
        <v>1</v>
      </c>
      <c r="I212" s="13"/>
      <c r="J212" s="13" t="s">
        <v>215</v>
      </c>
      <c r="K212" s="13"/>
      <c r="L212" s="4">
        <v>10519</v>
      </c>
      <c r="M212" s="4">
        <v>0</v>
      </c>
      <c r="N212" s="4">
        <f t="shared" si="13"/>
        <v>11805</v>
      </c>
      <c r="O212" s="4">
        <v>1</v>
      </c>
      <c r="P212" s="4">
        <v>0</v>
      </c>
      <c r="Q212" s="4">
        <v>1</v>
      </c>
      <c r="R212" s="7" t="str">
        <f>"&lt;color=#"&amp;VLOOKUP(E212,[1]品质主表!$B$6:$C$13,2,FALSE)&amp;"&gt;"&amp;C212&amp;"&lt;/color&gt;"</f>
        <v>&lt;color=#ff8000&gt;太乙神术&lt;/color&gt;</v>
      </c>
      <c r="S212" t="s">
        <v>810</v>
      </c>
    </row>
    <row r="213" spans="2:19" x14ac:dyDescent="0.3">
      <c r="B213" s="1">
        <v>11806</v>
      </c>
      <c r="C213" t="s">
        <v>210</v>
      </c>
      <c r="D213" t="s">
        <v>811</v>
      </c>
      <c r="E213" s="1">
        <v>6</v>
      </c>
      <c r="F213" s="4">
        <v>7</v>
      </c>
      <c r="G213" s="10">
        <v>5</v>
      </c>
      <c r="H213" s="10">
        <v>1</v>
      </c>
      <c r="I213" s="13"/>
      <c r="J213" s="13" t="s">
        <v>216</v>
      </c>
      <c r="K213" s="13"/>
      <c r="L213" s="4">
        <v>10619</v>
      </c>
      <c r="M213" s="4">
        <v>0</v>
      </c>
      <c r="N213" s="4">
        <f t="shared" si="13"/>
        <v>11806</v>
      </c>
      <c r="O213" s="4">
        <v>1</v>
      </c>
      <c r="P213" s="4">
        <v>0</v>
      </c>
      <c r="Q213" s="4">
        <v>1</v>
      </c>
      <c r="R213" s="7" t="str">
        <f>"&lt;color=#"&amp;VLOOKUP(E213,[1]品质主表!$B$6:$C$13,2,FALSE)&amp;"&gt;"&amp;C213&amp;"&lt;/color&gt;"</f>
        <v>&lt;color=#ff4d4d&gt;太乙神术&lt;/color&gt;</v>
      </c>
      <c r="S213" t="s">
        <v>811</v>
      </c>
    </row>
    <row r="214" spans="2:19" x14ac:dyDescent="0.3">
      <c r="B214" s="1">
        <v>11807</v>
      </c>
      <c r="C214" t="s">
        <v>210</v>
      </c>
      <c r="D214" t="s">
        <v>812</v>
      </c>
      <c r="E214" s="1">
        <v>7</v>
      </c>
      <c r="F214" s="4">
        <v>7</v>
      </c>
      <c r="G214" s="10">
        <v>5</v>
      </c>
      <c r="H214" s="10">
        <v>1</v>
      </c>
      <c r="I214" s="13"/>
      <c r="J214" s="13" t="s">
        <v>217</v>
      </c>
      <c r="K214" s="13"/>
      <c r="L214" s="4">
        <v>10719</v>
      </c>
      <c r="M214" s="4">
        <v>0</v>
      </c>
      <c r="N214" s="4">
        <f t="shared" si="13"/>
        <v>11807</v>
      </c>
      <c r="O214" s="4">
        <v>1</v>
      </c>
      <c r="P214" s="4">
        <v>0</v>
      </c>
      <c r="Q214" s="4">
        <v>1</v>
      </c>
      <c r="R214" s="7" t="str">
        <f>"&lt;color=#"&amp;VLOOKUP(E214,[1]品质主表!$B$6:$C$13,2,FALSE)&amp;"&gt;"&amp;C214&amp;"&lt;/color&gt;"</f>
        <v>&lt;color=#ff779d&gt;太乙神术&lt;/color&gt;</v>
      </c>
      <c r="S214" t="s">
        <v>812</v>
      </c>
    </row>
    <row r="215" spans="2:19" x14ac:dyDescent="0.3">
      <c r="B215" s="1">
        <v>11808</v>
      </c>
      <c r="C215" t="s">
        <v>891</v>
      </c>
      <c r="D215" t="s">
        <v>892</v>
      </c>
      <c r="E215" s="1">
        <v>7</v>
      </c>
      <c r="F215" s="4">
        <v>7</v>
      </c>
      <c r="G215" s="10">
        <v>5</v>
      </c>
      <c r="H215" s="10">
        <v>1</v>
      </c>
      <c r="I215" s="13"/>
      <c r="J215" s="13" t="s">
        <v>845</v>
      </c>
      <c r="K215" s="13"/>
      <c r="L215" s="4">
        <v>10819</v>
      </c>
      <c r="M215" s="4">
        <v>0</v>
      </c>
      <c r="N215" s="4">
        <f t="shared" si="13"/>
        <v>11808</v>
      </c>
      <c r="O215" s="4">
        <v>1</v>
      </c>
      <c r="P215" s="4">
        <v>0</v>
      </c>
      <c r="Q215" s="4">
        <v>1</v>
      </c>
      <c r="R215" s="7" t="str">
        <f>"&lt;color=#"&amp;VLOOKUP(E215,[1]品质主表!$B$6:$C$13,2,FALSE)&amp;"&gt;"&amp;C215&amp;"&lt;/color&gt;"</f>
        <v>&lt;color=#ff779d&gt;神·太乙神术&lt;/color&gt;</v>
      </c>
      <c r="S215" t="s">
        <v>892</v>
      </c>
    </row>
    <row r="216" spans="2:19" x14ac:dyDescent="0.3">
      <c r="B216" s="1">
        <v>11901</v>
      </c>
      <c r="C216" t="s">
        <v>218</v>
      </c>
      <c r="D216" t="s">
        <v>483</v>
      </c>
      <c r="E216" s="1">
        <v>1</v>
      </c>
      <c r="F216" s="4">
        <v>7</v>
      </c>
      <c r="G216" s="10">
        <v>5</v>
      </c>
      <c r="H216" s="10">
        <v>1</v>
      </c>
      <c r="I216" s="13"/>
      <c r="J216" s="13" t="s">
        <v>219</v>
      </c>
      <c r="K216" s="13"/>
      <c r="L216" s="4">
        <v>10120</v>
      </c>
      <c r="M216" s="4">
        <v>0</v>
      </c>
      <c r="N216" s="4">
        <f t="shared" si="13"/>
        <v>11901</v>
      </c>
      <c r="O216" s="4">
        <v>1</v>
      </c>
      <c r="P216" s="4">
        <v>0</v>
      </c>
      <c r="Q216" s="4">
        <v>1</v>
      </c>
      <c r="R216" s="7" t="str">
        <f>"&lt;color=#"&amp;VLOOKUP(E216,[1]品质主表!$B$6:$C$13,2,FALSE)&amp;"&gt;"&amp;C216&amp;"&lt;/color&gt;"</f>
        <v>&lt;color=#18e71a&gt;天璇灵决&lt;/color&gt;</v>
      </c>
      <c r="S216" t="s">
        <v>483</v>
      </c>
    </row>
    <row r="217" spans="2:19" x14ac:dyDescent="0.3">
      <c r="B217" s="1">
        <v>11902</v>
      </c>
      <c r="C217" t="s">
        <v>218</v>
      </c>
      <c r="D217" t="s">
        <v>484</v>
      </c>
      <c r="E217" s="1">
        <v>2</v>
      </c>
      <c r="F217" s="4">
        <v>7</v>
      </c>
      <c r="G217" s="10">
        <v>5</v>
      </c>
      <c r="H217" s="10">
        <v>1</v>
      </c>
      <c r="I217" s="13"/>
      <c r="J217" s="13" t="s">
        <v>220</v>
      </c>
      <c r="K217" s="13"/>
      <c r="L217" s="4">
        <v>10220</v>
      </c>
      <c r="M217" s="4">
        <v>0</v>
      </c>
      <c r="N217" s="4">
        <f t="shared" si="13"/>
        <v>11902</v>
      </c>
      <c r="O217" s="4">
        <v>1</v>
      </c>
      <c r="P217" s="4">
        <v>0</v>
      </c>
      <c r="Q217" s="4">
        <v>1</v>
      </c>
      <c r="R217" s="7" t="str">
        <f>"&lt;color=#"&amp;VLOOKUP(E217,[1]品质主表!$B$6:$C$13,2,FALSE)&amp;"&gt;"&amp;C217&amp;"&lt;/color&gt;"</f>
        <v>&lt;color=#40f3ff&gt;天璇灵决&lt;/color&gt;</v>
      </c>
      <c r="S217" t="s">
        <v>484</v>
      </c>
    </row>
    <row r="218" spans="2:19" x14ac:dyDescent="0.3">
      <c r="B218" s="1">
        <v>11903</v>
      </c>
      <c r="C218" t="s">
        <v>218</v>
      </c>
      <c r="D218" t="s">
        <v>484</v>
      </c>
      <c r="E218" s="1">
        <v>3</v>
      </c>
      <c r="F218" s="4">
        <v>7</v>
      </c>
      <c r="G218" s="10">
        <v>5</v>
      </c>
      <c r="H218" s="10">
        <v>1</v>
      </c>
      <c r="I218" s="13"/>
      <c r="J218" s="13" t="s">
        <v>221</v>
      </c>
      <c r="K218" s="13"/>
      <c r="L218" s="4">
        <v>10320</v>
      </c>
      <c r="M218" s="4">
        <v>0</v>
      </c>
      <c r="N218" s="4">
        <f t="shared" si="13"/>
        <v>11903</v>
      </c>
      <c r="O218" s="4">
        <v>1</v>
      </c>
      <c r="P218" s="4">
        <v>0</v>
      </c>
      <c r="Q218" s="4">
        <v>1</v>
      </c>
      <c r="R218" s="7" t="str">
        <f>"&lt;color=#"&amp;VLOOKUP(E218,[1]品质主表!$B$6:$C$13,2,FALSE)&amp;"&gt;"&amp;C218&amp;"&lt;/color&gt;"</f>
        <v>&lt;color=#f044dc&gt;天璇灵决&lt;/color&gt;</v>
      </c>
      <c r="S218" t="s">
        <v>485</v>
      </c>
    </row>
    <row r="219" spans="2:19" x14ac:dyDescent="0.3">
      <c r="B219" s="1">
        <v>11904</v>
      </c>
      <c r="C219" t="s">
        <v>218</v>
      </c>
      <c r="D219" t="s">
        <v>486</v>
      </c>
      <c r="E219" s="1">
        <v>4</v>
      </c>
      <c r="F219" s="4">
        <v>7</v>
      </c>
      <c r="G219" s="10">
        <v>5</v>
      </c>
      <c r="H219" s="10">
        <v>1</v>
      </c>
      <c r="I219" s="13"/>
      <c r="J219" s="13" t="s">
        <v>222</v>
      </c>
      <c r="K219" s="13"/>
      <c r="L219" s="4">
        <v>10420</v>
      </c>
      <c r="M219" s="4">
        <v>0</v>
      </c>
      <c r="N219" s="4">
        <f t="shared" si="13"/>
        <v>11904</v>
      </c>
      <c r="O219" s="4">
        <v>1</v>
      </c>
      <c r="P219" s="4">
        <v>0</v>
      </c>
      <c r="Q219" s="4">
        <v>1</v>
      </c>
      <c r="R219" s="7" t="str">
        <f>"&lt;color=#"&amp;VLOOKUP(E219,[1]品质主表!$B$6:$C$13,2,FALSE)&amp;"&gt;"&amp;C219&amp;"&lt;/color&gt;"</f>
        <v>&lt;color=#edde00&gt;天璇灵决&lt;/color&gt;</v>
      </c>
      <c r="S219" t="s">
        <v>486</v>
      </c>
    </row>
    <row r="220" spans="2:19" x14ac:dyDescent="0.3">
      <c r="B220" s="1">
        <v>11905</v>
      </c>
      <c r="C220" t="s">
        <v>218</v>
      </c>
      <c r="D220" t="s">
        <v>813</v>
      </c>
      <c r="E220" s="1">
        <v>5</v>
      </c>
      <c r="F220" s="4">
        <v>7</v>
      </c>
      <c r="G220" s="10">
        <v>5</v>
      </c>
      <c r="H220" s="10">
        <v>1</v>
      </c>
      <c r="I220" s="13"/>
      <c r="J220" s="13" t="s">
        <v>223</v>
      </c>
      <c r="K220" s="13"/>
      <c r="L220" s="4">
        <v>10520</v>
      </c>
      <c r="M220" s="4">
        <v>0</v>
      </c>
      <c r="N220" s="4">
        <f t="shared" si="13"/>
        <v>11905</v>
      </c>
      <c r="O220" s="4">
        <v>1</v>
      </c>
      <c r="P220" s="4">
        <v>0</v>
      </c>
      <c r="Q220" s="4">
        <v>1</v>
      </c>
      <c r="R220" s="7" t="str">
        <f>"&lt;color=#"&amp;VLOOKUP(E220,[1]品质主表!$B$6:$C$13,2,FALSE)&amp;"&gt;"&amp;C220&amp;"&lt;/color&gt;"</f>
        <v>&lt;color=#ff8000&gt;天璇灵决&lt;/color&gt;</v>
      </c>
      <c r="S220" t="s">
        <v>813</v>
      </c>
    </row>
    <row r="221" spans="2:19" x14ac:dyDescent="0.3">
      <c r="B221" s="1">
        <v>11906</v>
      </c>
      <c r="C221" t="s">
        <v>218</v>
      </c>
      <c r="D221" t="s">
        <v>814</v>
      </c>
      <c r="E221" s="1">
        <v>6</v>
      </c>
      <c r="F221" s="4">
        <v>7</v>
      </c>
      <c r="G221" s="10">
        <v>5</v>
      </c>
      <c r="H221" s="10">
        <v>1</v>
      </c>
      <c r="I221" s="13"/>
      <c r="J221" s="13" t="s">
        <v>224</v>
      </c>
      <c r="K221" s="13"/>
      <c r="L221" s="4">
        <v>10620</v>
      </c>
      <c r="M221" s="4">
        <v>0</v>
      </c>
      <c r="N221" s="4">
        <f t="shared" si="13"/>
        <v>11906</v>
      </c>
      <c r="O221" s="4">
        <v>1</v>
      </c>
      <c r="P221" s="4">
        <v>0</v>
      </c>
      <c r="Q221" s="4">
        <v>1</v>
      </c>
      <c r="R221" s="7" t="str">
        <f>"&lt;color=#"&amp;VLOOKUP(E221,[1]品质主表!$B$6:$C$13,2,FALSE)&amp;"&gt;"&amp;C221&amp;"&lt;/color&gt;"</f>
        <v>&lt;color=#ff4d4d&gt;天璇灵决&lt;/color&gt;</v>
      </c>
      <c r="S221" t="s">
        <v>814</v>
      </c>
    </row>
    <row r="222" spans="2:19" x14ac:dyDescent="0.3">
      <c r="B222" s="1">
        <v>11907</v>
      </c>
      <c r="C222" t="s">
        <v>218</v>
      </c>
      <c r="D222" t="s">
        <v>815</v>
      </c>
      <c r="E222" s="1">
        <v>7</v>
      </c>
      <c r="F222" s="4">
        <v>7</v>
      </c>
      <c r="G222" s="10">
        <v>5</v>
      </c>
      <c r="H222" s="10">
        <v>1</v>
      </c>
      <c r="I222" s="13"/>
      <c r="J222" s="13" t="s">
        <v>225</v>
      </c>
      <c r="K222" s="13"/>
      <c r="L222" s="4">
        <v>10720</v>
      </c>
      <c r="M222" s="4">
        <v>0</v>
      </c>
      <c r="N222" s="4">
        <f t="shared" si="13"/>
        <v>11907</v>
      </c>
      <c r="O222" s="4">
        <v>1</v>
      </c>
      <c r="P222" s="4">
        <v>0</v>
      </c>
      <c r="Q222" s="4">
        <v>1</v>
      </c>
      <c r="R222" s="7" t="str">
        <f>"&lt;color=#"&amp;VLOOKUP(E222,[1]品质主表!$B$6:$C$13,2,FALSE)&amp;"&gt;"&amp;C222&amp;"&lt;/color&gt;"</f>
        <v>&lt;color=#ff779d&gt;天璇灵决&lt;/color&gt;</v>
      </c>
      <c r="S222" t="s">
        <v>815</v>
      </c>
    </row>
    <row r="223" spans="2:19" x14ac:dyDescent="0.3">
      <c r="B223" s="1">
        <v>11908</v>
      </c>
      <c r="C223" t="s">
        <v>893</v>
      </c>
      <c r="D223" t="s">
        <v>894</v>
      </c>
      <c r="E223" s="1">
        <v>7</v>
      </c>
      <c r="F223" s="4">
        <v>7</v>
      </c>
      <c r="G223" s="10">
        <v>5</v>
      </c>
      <c r="H223" s="10">
        <v>1</v>
      </c>
      <c r="I223" s="13"/>
      <c r="J223" s="13" t="s">
        <v>846</v>
      </c>
      <c r="K223" s="13"/>
      <c r="L223" s="4">
        <v>10820</v>
      </c>
      <c r="M223" s="4">
        <v>0</v>
      </c>
      <c r="N223" s="4">
        <f t="shared" si="13"/>
        <v>11908</v>
      </c>
      <c r="O223" s="4">
        <v>1</v>
      </c>
      <c r="P223" s="4">
        <v>0</v>
      </c>
      <c r="Q223" s="4">
        <v>1</v>
      </c>
      <c r="R223" s="7" t="str">
        <f>"&lt;color=#"&amp;VLOOKUP(E223,[1]品质主表!$B$6:$C$13,2,FALSE)&amp;"&gt;"&amp;C223&amp;"&lt;/color&gt;"</f>
        <v>&lt;color=#ff779d&gt;神·天璇灵决&lt;/color&gt;</v>
      </c>
      <c r="S223" t="s">
        <v>894</v>
      </c>
    </row>
    <row r="224" spans="2:19" x14ac:dyDescent="0.3">
      <c r="B224" s="1">
        <v>12001</v>
      </c>
      <c r="C224" t="s">
        <v>226</v>
      </c>
      <c r="D224" t="s">
        <v>640</v>
      </c>
      <c r="E224" s="1">
        <v>1</v>
      </c>
      <c r="F224" s="4">
        <v>7</v>
      </c>
      <c r="G224" s="10">
        <v>5</v>
      </c>
      <c r="H224" s="10">
        <v>1</v>
      </c>
      <c r="I224" s="13"/>
      <c r="J224" s="13" t="s">
        <v>227</v>
      </c>
      <c r="K224" s="13"/>
      <c r="L224" s="4">
        <v>10121</v>
      </c>
      <c r="M224" s="4">
        <v>0</v>
      </c>
      <c r="N224" s="4">
        <f t="shared" ref="N224:N234" si="14">B224</f>
        <v>12001</v>
      </c>
      <c r="O224" s="4">
        <v>1</v>
      </c>
      <c r="P224" s="4">
        <v>0</v>
      </c>
      <c r="Q224" s="4">
        <v>1</v>
      </c>
      <c r="R224" s="7" t="str">
        <f>"&lt;color=#"&amp;VLOOKUP(E224,[1]品质主表!$B$6:$C$13,2,FALSE)&amp;"&gt;"&amp;C224&amp;"&lt;/color&gt;"</f>
        <v>&lt;color=#18e71a&gt;身外化身&lt;/color&gt;</v>
      </c>
      <c r="S224" t="s">
        <v>640</v>
      </c>
    </row>
    <row r="225" spans="2:19" x14ac:dyDescent="0.3">
      <c r="B225" s="1">
        <v>12002</v>
      </c>
      <c r="C225" t="s">
        <v>226</v>
      </c>
      <c r="D225" t="s">
        <v>641</v>
      </c>
      <c r="E225" s="1">
        <v>2</v>
      </c>
      <c r="F225" s="4">
        <v>7</v>
      </c>
      <c r="G225" s="10">
        <v>5</v>
      </c>
      <c r="H225" s="10">
        <v>1</v>
      </c>
      <c r="I225" s="13"/>
      <c r="J225" s="13" t="s">
        <v>228</v>
      </c>
      <c r="K225" s="13"/>
      <c r="L225" s="4">
        <v>10221</v>
      </c>
      <c r="M225" s="4">
        <v>0</v>
      </c>
      <c r="N225" s="4">
        <f t="shared" si="14"/>
        <v>12002</v>
      </c>
      <c r="O225" s="4">
        <v>1</v>
      </c>
      <c r="P225" s="4">
        <v>0</v>
      </c>
      <c r="Q225" s="4">
        <v>1</v>
      </c>
      <c r="R225" s="7" t="str">
        <f>"&lt;color=#"&amp;VLOOKUP(E225,[1]品质主表!$B$6:$C$13,2,FALSE)&amp;"&gt;"&amp;C225&amp;"&lt;/color&gt;"</f>
        <v>&lt;color=#40f3ff&gt;身外化身&lt;/color&gt;</v>
      </c>
      <c r="S225" t="s">
        <v>641</v>
      </c>
    </row>
    <row r="226" spans="2:19" x14ac:dyDescent="0.3">
      <c r="B226" s="1">
        <v>12003</v>
      </c>
      <c r="C226" t="s">
        <v>226</v>
      </c>
      <c r="D226" t="s">
        <v>637</v>
      </c>
      <c r="E226" s="1">
        <v>3</v>
      </c>
      <c r="F226" s="4">
        <v>7</v>
      </c>
      <c r="G226" s="10">
        <v>5</v>
      </c>
      <c r="H226" s="10">
        <v>1</v>
      </c>
      <c r="I226" s="13"/>
      <c r="J226" s="13" t="s">
        <v>229</v>
      </c>
      <c r="K226" s="13"/>
      <c r="L226" s="4">
        <v>10321</v>
      </c>
      <c r="M226" s="4">
        <v>0</v>
      </c>
      <c r="N226" s="4">
        <f t="shared" si="14"/>
        <v>12003</v>
      </c>
      <c r="O226" s="4">
        <v>1</v>
      </c>
      <c r="P226" s="4">
        <v>0</v>
      </c>
      <c r="Q226" s="4">
        <v>1</v>
      </c>
      <c r="R226" s="7" t="str">
        <f>"&lt;color=#"&amp;VLOOKUP(E226,[1]品质主表!$B$6:$C$13,2,FALSE)&amp;"&gt;"&amp;C226&amp;"&lt;/color&gt;"</f>
        <v>&lt;color=#f044dc&gt;身外化身&lt;/color&gt;</v>
      </c>
      <c r="S226" t="s">
        <v>637</v>
      </c>
    </row>
    <row r="227" spans="2:19" x14ac:dyDescent="0.3">
      <c r="B227" s="1">
        <v>12004</v>
      </c>
      <c r="C227" t="s">
        <v>226</v>
      </c>
      <c r="D227" t="s">
        <v>642</v>
      </c>
      <c r="E227" s="1">
        <v>4</v>
      </c>
      <c r="F227" s="4">
        <v>7</v>
      </c>
      <c r="G227" s="10">
        <v>5</v>
      </c>
      <c r="H227" s="10">
        <v>1</v>
      </c>
      <c r="I227" s="13"/>
      <c r="J227" s="13" t="s">
        <v>230</v>
      </c>
      <c r="K227" s="13"/>
      <c r="L227" s="4">
        <v>10421</v>
      </c>
      <c r="M227" s="4">
        <v>0</v>
      </c>
      <c r="N227" s="4">
        <f t="shared" si="14"/>
        <v>12004</v>
      </c>
      <c r="O227" s="4">
        <v>1</v>
      </c>
      <c r="P227" s="4">
        <v>0</v>
      </c>
      <c r="Q227" s="4">
        <v>1</v>
      </c>
      <c r="R227" s="7" t="str">
        <f>"&lt;color=#"&amp;VLOOKUP(E227,[1]品质主表!$B$6:$C$13,2,FALSE)&amp;"&gt;"&amp;C227&amp;"&lt;/color&gt;"</f>
        <v>&lt;color=#edde00&gt;身外化身&lt;/color&gt;</v>
      </c>
      <c r="S227" t="s">
        <v>642</v>
      </c>
    </row>
    <row r="228" spans="2:19" x14ac:dyDescent="0.3">
      <c r="B228" s="1">
        <v>12005</v>
      </c>
      <c r="C228" t="s">
        <v>226</v>
      </c>
      <c r="D228" t="s">
        <v>643</v>
      </c>
      <c r="E228" s="1">
        <v>5</v>
      </c>
      <c r="F228" s="4">
        <v>7</v>
      </c>
      <c r="G228" s="10">
        <v>5</v>
      </c>
      <c r="H228" s="10">
        <v>1</v>
      </c>
      <c r="I228" s="13"/>
      <c r="J228" s="13" t="s">
        <v>231</v>
      </c>
      <c r="K228" s="13"/>
      <c r="L228" s="4">
        <v>10521</v>
      </c>
      <c r="M228" s="4">
        <v>0</v>
      </c>
      <c r="N228" s="4">
        <f t="shared" si="14"/>
        <v>12005</v>
      </c>
      <c r="O228" s="4">
        <v>1</v>
      </c>
      <c r="P228" s="4">
        <v>0</v>
      </c>
      <c r="Q228" s="4">
        <v>1</v>
      </c>
      <c r="R228" s="7" t="str">
        <f>"&lt;color=#"&amp;VLOOKUP(E228,[1]品质主表!$B$6:$C$13,2,FALSE)&amp;"&gt;"&amp;C228&amp;"&lt;/color&gt;"</f>
        <v>&lt;color=#ff8000&gt;身外化身&lt;/color&gt;</v>
      </c>
      <c r="S228" t="s">
        <v>643</v>
      </c>
    </row>
    <row r="229" spans="2:19" x14ac:dyDescent="0.3">
      <c r="B229" s="1">
        <v>12006</v>
      </c>
      <c r="C229" t="s">
        <v>226</v>
      </c>
      <c r="D229" t="s">
        <v>638</v>
      </c>
      <c r="E229" s="1">
        <v>6</v>
      </c>
      <c r="F229" s="4">
        <v>7</v>
      </c>
      <c r="G229" s="10">
        <v>5</v>
      </c>
      <c r="H229" s="10">
        <v>1</v>
      </c>
      <c r="I229" s="13"/>
      <c r="J229" s="13" t="s">
        <v>232</v>
      </c>
      <c r="K229" s="13"/>
      <c r="L229" s="4">
        <v>10621</v>
      </c>
      <c r="M229" s="4">
        <v>0</v>
      </c>
      <c r="N229" s="4">
        <f t="shared" si="14"/>
        <v>12006</v>
      </c>
      <c r="O229" s="4">
        <v>1</v>
      </c>
      <c r="P229" s="4">
        <v>0</v>
      </c>
      <c r="Q229" s="4">
        <v>1</v>
      </c>
      <c r="R229" s="7" t="str">
        <f>"&lt;color=#"&amp;VLOOKUP(E229,[1]品质主表!$B$6:$C$13,2,FALSE)&amp;"&gt;"&amp;C229&amp;"&lt;/color&gt;"</f>
        <v>&lt;color=#ff4d4d&gt;身外化身&lt;/color&gt;</v>
      </c>
      <c r="S229" t="s">
        <v>638</v>
      </c>
    </row>
    <row r="230" spans="2:19" x14ac:dyDescent="0.3">
      <c r="B230" s="1">
        <v>12007</v>
      </c>
      <c r="C230" t="s">
        <v>226</v>
      </c>
      <c r="D230" t="s">
        <v>639</v>
      </c>
      <c r="E230" s="1">
        <v>7</v>
      </c>
      <c r="F230" s="4">
        <v>7</v>
      </c>
      <c r="G230" s="10">
        <v>5</v>
      </c>
      <c r="H230" s="10">
        <v>1</v>
      </c>
      <c r="I230" s="13"/>
      <c r="J230" s="13" t="s">
        <v>233</v>
      </c>
      <c r="K230" s="13"/>
      <c r="L230" s="4">
        <v>10721</v>
      </c>
      <c r="M230" s="4">
        <v>0</v>
      </c>
      <c r="N230" s="4">
        <f t="shared" si="14"/>
        <v>12007</v>
      </c>
      <c r="O230" s="4">
        <v>1</v>
      </c>
      <c r="P230" s="4">
        <v>0</v>
      </c>
      <c r="Q230" s="4">
        <v>1</v>
      </c>
      <c r="R230" s="7" t="str">
        <f>"&lt;color=#"&amp;VLOOKUP(E230,[1]品质主表!$B$6:$C$13,2,FALSE)&amp;"&gt;"&amp;C230&amp;"&lt;/color&gt;"</f>
        <v>&lt;color=#ff779d&gt;身外化身&lt;/color&gt;</v>
      </c>
      <c r="S230" t="s">
        <v>639</v>
      </c>
    </row>
    <row r="231" spans="2:19" x14ac:dyDescent="0.3">
      <c r="B231" s="1">
        <v>12008</v>
      </c>
      <c r="C231" t="s">
        <v>895</v>
      </c>
      <c r="D231" t="s">
        <v>896</v>
      </c>
      <c r="E231" s="1">
        <v>7</v>
      </c>
      <c r="F231" s="4">
        <v>7</v>
      </c>
      <c r="G231" s="10">
        <v>5</v>
      </c>
      <c r="H231" s="10">
        <v>1</v>
      </c>
      <c r="I231" s="13"/>
      <c r="J231" s="13" t="s">
        <v>847</v>
      </c>
      <c r="K231" s="13"/>
      <c r="L231" s="4">
        <v>10821</v>
      </c>
      <c r="M231" s="4">
        <v>0</v>
      </c>
      <c r="N231" s="4">
        <f t="shared" si="14"/>
        <v>12008</v>
      </c>
      <c r="O231" s="4">
        <v>1</v>
      </c>
      <c r="P231" s="4">
        <v>0</v>
      </c>
      <c r="Q231" s="4">
        <v>1</v>
      </c>
      <c r="R231" s="7" t="str">
        <f>"&lt;color=#"&amp;VLOOKUP(E231,[1]品质主表!$B$6:$C$13,2,FALSE)&amp;"&gt;"&amp;C231&amp;"&lt;/color&gt;"</f>
        <v>&lt;color=#ff779d&gt;神·身外化身&lt;/color&gt;</v>
      </c>
      <c r="S231" t="s">
        <v>896</v>
      </c>
    </row>
    <row r="232" spans="2:19" x14ac:dyDescent="0.3">
      <c r="B232" s="1">
        <v>15001</v>
      </c>
      <c r="C232" s="16" t="s">
        <v>816</v>
      </c>
      <c r="D232" s="16" t="s">
        <v>824</v>
      </c>
      <c r="E232" s="1">
        <v>7</v>
      </c>
      <c r="F232" s="4">
        <v>7</v>
      </c>
      <c r="G232" s="10">
        <v>5</v>
      </c>
      <c r="H232" s="10">
        <v>1</v>
      </c>
      <c r="I232" s="13"/>
      <c r="J232" s="13" t="s">
        <v>897</v>
      </c>
      <c r="K232" s="13"/>
      <c r="L232" s="4">
        <v>10822</v>
      </c>
      <c r="M232" s="4">
        <v>0</v>
      </c>
      <c r="N232" s="4">
        <f t="shared" si="14"/>
        <v>15001</v>
      </c>
      <c r="O232" s="4">
        <v>1</v>
      </c>
      <c r="P232" s="4">
        <v>0</v>
      </c>
      <c r="Q232" s="4">
        <v>0</v>
      </c>
      <c r="R232" s="7" t="str">
        <f>"&lt;color=#"&amp;VLOOKUP(E232,[1]品质主表!$B$6:$C$13,2,FALSE)&amp;"&gt;"&amp;C232&amp;"&lt;/color&gt;"</f>
        <v>&lt;color=#ff779d&gt;凤凰涅槃&lt;/color&gt;</v>
      </c>
      <c r="S232" t="s">
        <v>900</v>
      </c>
    </row>
    <row r="233" spans="2:19" x14ac:dyDescent="0.3">
      <c r="B233" s="1">
        <v>15101</v>
      </c>
      <c r="C233" s="16" t="s">
        <v>817</v>
      </c>
      <c r="D233" s="16" t="s">
        <v>822</v>
      </c>
      <c r="E233" s="1">
        <v>7</v>
      </c>
      <c r="F233" s="4">
        <v>7</v>
      </c>
      <c r="G233" s="10">
        <v>5</v>
      </c>
      <c r="H233" s="10">
        <v>1</v>
      </c>
      <c r="I233" s="13"/>
      <c r="J233" s="13" t="s">
        <v>898</v>
      </c>
      <c r="K233" s="13"/>
      <c r="L233" s="4">
        <v>10823</v>
      </c>
      <c r="M233" s="4">
        <v>0</v>
      </c>
      <c r="N233" s="4">
        <f t="shared" si="14"/>
        <v>15101</v>
      </c>
      <c r="O233" s="4">
        <v>1</v>
      </c>
      <c r="P233" s="4">
        <v>0</v>
      </c>
      <c r="Q233" s="4">
        <v>0</v>
      </c>
      <c r="R233" s="7" t="str">
        <f>"&lt;color=#"&amp;VLOOKUP(E233,[1]品质主表!$B$6:$C$13,2,FALSE)&amp;"&gt;"&amp;C233&amp;"&lt;/color&gt;"</f>
        <v>&lt;color=#ff779d&gt;凤凰之息&lt;/color&gt;</v>
      </c>
      <c r="S233" t="s">
        <v>901</v>
      </c>
    </row>
    <row r="234" spans="2:19" x14ac:dyDescent="0.3">
      <c r="B234" s="1">
        <v>15201</v>
      </c>
      <c r="C234" s="16" t="s">
        <v>818</v>
      </c>
      <c r="D234" s="16" t="s">
        <v>823</v>
      </c>
      <c r="E234" s="1">
        <v>7</v>
      </c>
      <c r="F234" s="4">
        <v>7</v>
      </c>
      <c r="G234" s="10">
        <v>5</v>
      </c>
      <c r="H234" s="10">
        <v>1</v>
      </c>
      <c r="I234" s="13"/>
      <c r="J234" s="13" t="s">
        <v>899</v>
      </c>
      <c r="K234" s="13"/>
      <c r="L234" s="4">
        <v>10824</v>
      </c>
      <c r="M234" s="4">
        <v>0</v>
      </c>
      <c r="N234" s="4">
        <f t="shared" si="14"/>
        <v>15201</v>
      </c>
      <c r="O234" s="4">
        <v>1</v>
      </c>
      <c r="P234" s="4">
        <v>0</v>
      </c>
      <c r="Q234" s="4">
        <v>0</v>
      </c>
      <c r="R234" s="7" t="str">
        <f>"&lt;color=#"&amp;VLOOKUP(E234,[1]品质主表!$B$6:$C$13,2,FALSE)&amp;"&gt;"&amp;C234&amp;"&lt;/color&gt;"</f>
        <v>&lt;color=#ff779d&gt;烈焰护盾&lt;/color&gt;</v>
      </c>
      <c r="S234" t="s">
        <v>902</v>
      </c>
    </row>
    <row r="235" spans="2:19" x14ac:dyDescent="0.3">
      <c r="B235" s="1">
        <v>20001</v>
      </c>
      <c r="C235" s="16" t="s">
        <v>432</v>
      </c>
      <c r="E235" s="1">
        <v>1</v>
      </c>
      <c r="F235" s="4">
        <v>8</v>
      </c>
      <c r="G235" s="10">
        <v>5</v>
      </c>
      <c r="H235" s="10">
        <v>1</v>
      </c>
      <c r="J235" s="13" t="s">
        <v>235</v>
      </c>
      <c r="L235" s="4">
        <f t="shared" ref="L235:L268" si="15">B235</f>
        <v>20001</v>
      </c>
      <c r="M235" s="4">
        <v>0</v>
      </c>
      <c r="N235" s="4">
        <f t="shared" ref="N235" si="16">L235</f>
        <v>20001</v>
      </c>
      <c r="O235" s="4">
        <v>1</v>
      </c>
      <c r="P235" s="4">
        <v>0</v>
      </c>
      <c r="Q235" s="4">
        <v>1</v>
      </c>
      <c r="R235" s="7" t="str">
        <f>"&lt;color=#"&amp;VLOOKUP(E235,[1]品质主表!$B$6:$C$13,2,FALSE)&amp;"&gt;"&amp;C235&amp;"&lt;/color&gt;"</f>
        <v>&lt;color=#18e71a&gt;外门弟子服（男）&lt;/color&gt;</v>
      </c>
    </row>
    <row r="236" spans="2:19" x14ac:dyDescent="0.3">
      <c r="B236" s="1">
        <v>20002</v>
      </c>
      <c r="C236" s="16" t="s">
        <v>433</v>
      </c>
      <c r="E236" s="1">
        <v>1</v>
      </c>
      <c r="F236" s="4">
        <v>8</v>
      </c>
      <c r="G236" s="10">
        <v>5</v>
      </c>
      <c r="H236" s="10">
        <v>1</v>
      </c>
      <c r="J236" s="13" t="s">
        <v>237</v>
      </c>
      <c r="L236" s="4">
        <f t="shared" si="15"/>
        <v>20002</v>
      </c>
      <c r="M236" s="4">
        <v>0</v>
      </c>
      <c r="N236" s="4">
        <f t="shared" ref="N236:N319" si="17">L236</f>
        <v>20002</v>
      </c>
      <c r="O236" s="4">
        <v>1</v>
      </c>
      <c r="P236" s="4">
        <v>0</v>
      </c>
      <c r="Q236" s="4">
        <v>1</v>
      </c>
      <c r="R236" s="7" t="str">
        <f>"&lt;color=#"&amp;VLOOKUP(E236,[1]品质主表!$B$6:$C$13,2,FALSE)&amp;"&gt;"&amp;C236&amp;"&lt;/color&gt;"</f>
        <v>&lt;color=#18e71a&gt;内门弟子服（男）&lt;/color&gt;</v>
      </c>
    </row>
    <row r="237" spans="2:19" x14ac:dyDescent="0.3">
      <c r="B237" s="1">
        <v>20003</v>
      </c>
      <c r="C237" s="16" t="s">
        <v>434</v>
      </c>
      <c r="E237" s="1">
        <v>2</v>
      </c>
      <c r="F237" s="4">
        <v>8</v>
      </c>
      <c r="G237" s="10">
        <v>5</v>
      </c>
      <c r="H237" s="10">
        <v>1</v>
      </c>
      <c r="J237" s="13" t="s">
        <v>239</v>
      </c>
      <c r="L237" s="4">
        <f t="shared" si="15"/>
        <v>20003</v>
      </c>
      <c r="M237" s="4">
        <v>0</v>
      </c>
      <c r="N237" s="4">
        <f t="shared" si="17"/>
        <v>20003</v>
      </c>
      <c r="O237" s="4">
        <v>1</v>
      </c>
      <c r="P237" s="4">
        <v>0</v>
      </c>
      <c r="Q237" s="4">
        <v>1</v>
      </c>
      <c r="R237" s="7" t="str">
        <f>"&lt;color=#"&amp;VLOOKUP(E237,[1]品质主表!$B$6:$C$13,2,FALSE)&amp;"&gt;"&amp;C237&amp;"&lt;/color&gt;"</f>
        <v>&lt;color=#40f3ff&gt;精英弟子服（男）&lt;/color&gt;</v>
      </c>
    </row>
    <row r="238" spans="2:19" x14ac:dyDescent="0.3">
      <c r="B238" s="1">
        <v>20004</v>
      </c>
      <c r="C238" s="16" t="s">
        <v>435</v>
      </c>
      <c r="E238" s="1">
        <v>2</v>
      </c>
      <c r="F238" s="4">
        <v>8</v>
      </c>
      <c r="G238" s="10">
        <v>5</v>
      </c>
      <c r="H238" s="10">
        <v>1</v>
      </c>
      <c r="J238" s="13" t="s">
        <v>241</v>
      </c>
      <c r="L238" s="4">
        <f t="shared" si="15"/>
        <v>20004</v>
      </c>
      <c r="M238" s="4">
        <v>0</v>
      </c>
      <c r="N238" s="4">
        <f t="shared" si="17"/>
        <v>20004</v>
      </c>
      <c r="O238" s="4">
        <v>1</v>
      </c>
      <c r="P238" s="4">
        <v>0</v>
      </c>
      <c r="Q238" s="4">
        <v>1</v>
      </c>
      <c r="R238" s="7" t="str">
        <f>"&lt;color=#"&amp;VLOOKUP(E238,[1]品质主表!$B$6:$C$13,2,FALSE)&amp;"&gt;"&amp;C238&amp;"&lt;/color&gt;"</f>
        <v>&lt;color=#40f3ff&gt;亲传弟子服（男）&lt;/color&gt;</v>
      </c>
    </row>
    <row r="239" spans="2:19" x14ac:dyDescent="0.3">
      <c r="B239" s="1">
        <v>20005</v>
      </c>
      <c r="C239" s="16" t="s">
        <v>436</v>
      </c>
      <c r="E239" s="1">
        <v>3</v>
      </c>
      <c r="F239" s="4">
        <v>8</v>
      </c>
      <c r="G239" s="10">
        <v>5</v>
      </c>
      <c r="H239" s="10">
        <v>1</v>
      </c>
      <c r="J239" s="13" t="s">
        <v>243</v>
      </c>
      <c r="L239" s="4">
        <f t="shared" si="15"/>
        <v>20005</v>
      </c>
      <c r="M239" s="4">
        <v>0</v>
      </c>
      <c r="N239" s="4">
        <f t="shared" si="17"/>
        <v>20005</v>
      </c>
      <c r="O239" s="4">
        <v>1</v>
      </c>
      <c r="P239" s="4">
        <v>0</v>
      </c>
      <c r="Q239" s="4">
        <v>1</v>
      </c>
      <c r="R239" s="7" t="str">
        <f>"&lt;color=#"&amp;VLOOKUP(E239,[1]品质主表!$B$6:$C$13,2,FALSE)&amp;"&gt;"&amp;C239&amp;"&lt;/color&gt;"</f>
        <v>&lt;color=#f044dc&gt;执事服（男）&lt;/color&gt;</v>
      </c>
    </row>
    <row r="240" spans="2:19" x14ac:dyDescent="0.3">
      <c r="B240" s="1">
        <v>20006</v>
      </c>
      <c r="C240" s="16" t="s">
        <v>437</v>
      </c>
      <c r="E240" s="1">
        <v>3</v>
      </c>
      <c r="F240" s="4">
        <v>8</v>
      </c>
      <c r="G240" s="10">
        <v>5</v>
      </c>
      <c r="H240" s="10">
        <v>1</v>
      </c>
      <c r="J240" s="13" t="s">
        <v>245</v>
      </c>
      <c r="L240" s="4">
        <f t="shared" si="15"/>
        <v>20006</v>
      </c>
      <c r="M240" s="4">
        <v>0</v>
      </c>
      <c r="N240" s="4">
        <f t="shared" si="17"/>
        <v>20006</v>
      </c>
      <c r="O240" s="4">
        <v>1</v>
      </c>
      <c r="P240" s="4">
        <v>0</v>
      </c>
      <c r="Q240" s="4">
        <v>1</v>
      </c>
      <c r="R240" s="7" t="str">
        <f>"&lt;color=#"&amp;VLOOKUP(E240,[1]品质主表!$B$6:$C$13,2,FALSE)&amp;"&gt;"&amp;C240&amp;"&lt;/color&gt;"</f>
        <v>&lt;color=#f044dc&gt;长老服（男）&lt;/color&gt;</v>
      </c>
    </row>
    <row r="241" spans="2:18" s="26" customFormat="1" x14ac:dyDescent="0.3">
      <c r="B241" s="24">
        <v>20011</v>
      </c>
      <c r="C241" s="25" t="s">
        <v>491</v>
      </c>
      <c r="E241" s="24">
        <v>7</v>
      </c>
      <c r="F241" s="27">
        <v>8</v>
      </c>
      <c r="G241" s="10">
        <v>5</v>
      </c>
      <c r="H241" s="28">
        <v>1</v>
      </c>
      <c r="I241" s="29"/>
      <c r="J241" s="14" t="s">
        <v>492</v>
      </c>
      <c r="K241" s="29"/>
      <c r="L241" s="27">
        <f t="shared" si="15"/>
        <v>20011</v>
      </c>
      <c r="M241" s="27">
        <v>0</v>
      </c>
      <c r="N241" s="27">
        <f t="shared" ref="N241" si="18">L241</f>
        <v>20011</v>
      </c>
      <c r="O241" s="27">
        <v>1</v>
      </c>
      <c r="P241" s="27">
        <v>0</v>
      </c>
      <c r="Q241" s="27">
        <v>1</v>
      </c>
      <c r="R241" s="11" t="str">
        <f>"&lt;color=#"&amp;VLOOKUP(E241,[1]品质主表!$B$6:$C$13,2,FALSE)&amp;"&gt;"&amp;C241&amp;"&lt;/color&gt;"</f>
        <v>&lt;color=#ff779d&gt;浩然仙宗（男-1天）&lt;/color&gt;</v>
      </c>
    </row>
    <row r="242" spans="2:18" s="26" customFormat="1" x14ac:dyDescent="0.3">
      <c r="B242" s="24">
        <v>20012</v>
      </c>
      <c r="C242" s="25" t="s">
        <v>497</v>
      </c>
      <c r="E242" s="24">
        <v>7</v>
      </c>
      <c r="F242" s="27">
        <v>8</v>
      </c>
      <c r="G242" s="10">
        <v>5</v>
      </c>
      <c r="H242" s="28">
        <v>1</v>
      </c>
      <c r="I242" s="29"/>
      <c r="J242" s="14" t="s">
        <v>510</v>
      </c>
      <c r="K242" s="29"/>
      <c r="L242" s="27">
        <f t="shared" si="15"/>
        <v>20012</v>
      </c>
      <c r="M242" s="27">
        <v>0</v>
      </c>
      <c r="N242" s="27">
        <f>N241</f>
        <v>20011</v>
      </c>
      <c r="O242" s="27">
        <v>1</v>
      </c>
      <c r="P242" s="27">
        <v>0</v>
      </c>
      <c r="Q242" s="27">
        <v>1</v>
      </c>
      <c r="R242" s="11" t="str">
        <f>"&lt;color=#"&amp;VLOOKUP(E242,[1]品质主表!$B$6:$C$13,2,FALSE)&amp;"&gt;"&amp;C242&amp;"&lt;/color&gt;"</f>
        <v>&lt;color=#ff779d&gt;浩然仙宗（男-3天）&lt;/color&gt;</v>
      </c>
    </row>
    <row r="243" spans="2:18" s="26" customFormat="1" x14ac:dyDescent="0.3">
      <c r="B243" s="24">
        <v>20013</v>
      </c>
      <c r="C243" s="25" t="s">
        <v>499</v>
      </c>
      <c r="E243" s="24">
        <v>7</v>
      </c>
      <c r="F243" s="27">
        <v>8</v>
      </c>
      <c r="G243" s="10">
        <v>5</v>
      </c>
      <c r="H243" s="28">
        <v>1</v>
      </c>
      <c r="I243" s="29"/>
      <c r="J243" s="14" t="s">
        <v>511</v>
      </c>
      <c r="K243" s="29"/>
      <c r="L243" s="27">
        <f t="shared" si="15"/>
        <v>20013</v>
      </c>
      <c r="M243" s="27">
        <v>0</v>
      </c>
      <c r="N243" s="27">
        <f>N242</f>
        <v>20011</v>
      </c>
      <c r="O243" s="27">
        <v>1</v>
      </c>
      <c r="P243" s="27">
        <v>0</v>
      </c>
      <c r="Q243" s="27">
        <v>1</v>
      </c>
      <c r="R243" s="11" t="str">
        <f>"&lt;color=#"&amp;VLOOKUP(E243,[1]品质主表!$B$6:$C$13,2,FALSE)&amp;"&gt;"&amp;C243&amp;"&lt;/color&gt;"</f>
        <v>&lt;color=#ff779d&gt;浩然仙宗（男-5天）&lt;/color&gt;</v>
      </c>
    </row>
    <row r="244" spans="2:18" s="26" customFormat="1" x14ac:dyDescent="0.3">
      <c r="B244" s="24">
        <v>20014</v>
      </c>
      <c r="C244" s="25" t="s">
        <v>788</v>
      </c>
      <c r="E244" s="24">
        <v>7</v>
      </c>
      <c r="F244" s="27">
        <v>8</v>
      </c>
      <c r="G244" s="10">
        <v>5</v>
      </c>
      <c r="H244" s="28">
        <v>1</v>
      </c>
      <c r="I244" s="29"/>
      <c r="J244" s="14" t="s">
        <v>772</v>
      </c>
      <c r="K244" s="29"/>
      <c r="L244" s="27">
        <f t="shared" si="15"/>
        <v>20014</v>
      </c>
      <c r="M244" s="27">
        <v>0</v>
      </c>
      <c r="N244" s="27">
        <f t="shared" ref="N244" si="19">L244</f>
        <v>20014</v>
      </c>
      <c r="O244" s="27">
        <v>1</v>
      </c>
      <c r="P244" s="27">
        <v>0</v>
      </c>
      <c r="Q244" s="27">
        <v>1</v>
      </c>
      <c r="R244" s="11" t="str">
        <f>"&lt;color=#"&amp;VLOOKUP(E244,[1]品质主表!$B$6:$C$13,2,FALSE)&amp;"&gt;"&amp;C244&amp;"&lt;/color&gt;"</f>
        <v>&lt;color=#ff779d&gt;火凰萌羽（男-1天）&lt;/color&gt;</v>
      </c>
    </row>
    <row r="245" spans="2:18" s="26" customFormat="1" x14ac:dyDescent="0.3">
      <c r="B245" s="24">
        <v>20015</v>
      </c>
      <c r="C245" s="25" t="s">
        <v>966</v>
      </c>
      <c r="E245" s="24">
        <v>7</v>
      </c>
      <c r="F245" s="27">
        <v>8</v>
      </c>
      <c r="G245" s="10">
        <v>5</v>
      </c>
      <c r="H245" s="28">
        <v>1</v>
      </c>
      <c r="I245" s="29"/>
      <c r="J245" s="14" t="s">
        <v>967</v>
      </c>
      <c r="K245" s="29"/>
      <c r="L245" s="27">
        <f t="shared" ref="L245" si="20">B245</f>
        <v>20015</v>
      </c>
      <c r="M245" s="27">
        <v>0</v>
      </c>
      <c r="N245" s="27">
        <f t="shared" ref="N245" si="21">L245</f>
        <v>20015</v>
      </c>
      <c r="O245" s="27">
        <v>1</v>
      </c>
      <c r="P245" s="27">
        <v>0</v>
      </c>
      <c r="Q245" s="27">
        <v>1</v>
      </c>
      <c r="R245" s="11" t="str">
        <f>"&lt;color=#"&amp;VLOOKUP(E245,[1]品质主表!$B$6:$C$13,2,FALSE)&amp;"&gt;"&amp;C245&amp;"&lt;/color&gt;"</f>
        <v>&lt;color=#ff779d&gt;蝶舞霓裳（男）&lt;/color&gt;</v>
      </c>
    </row>
    <row r="246" spans="2:18" x14ac:dyDescent="0.3">
      <c r="B246" s="1">
        <v>20101</v>
      </c>
      <c r="C246" s="16" t="s">
        <v>374</v>
      </c>
      <c r="E246" s="1">
        <v>4</v>
      </c>
      <c r="F246" s="4">
        <v>8</v>
      </c>
      <c r="G246" s="10">
        <v>5</v>
      </c>
      <c r="H246" s="10">
        <v>1</v>
      </c>
      <c r="I246" s="13"/>
      <c r="J246" s="13" t="s">
        <v>351</v>
      </c>
      <c r="L246" s="4">
        <f t="shared" si="15"/>
        <v>20101</v>
      </c>
      <c r="M246" s="4">
        <v>0</v>
      </c>
      <c r="N246" s="4">
        <f t="shared" si="17"/>
        <v>20101</v>
      </c>
      <c r="O246" s="4">
        <v>1</v>
      </c>
      <c r="P246" s="4">
        <v>0</v>
      </c>
      <c r="Q246" s="4">
        <v>1</v>
      </c>
      <c r="R246" s="7" t="str">
        <f>"&lt;color=#"&amp;VLOOKUP(E246,[1]品质主表!$B$6:$C$13,2,FALSE)&amp;"&gt;"&amp;C246&amp;"&lt;/color&gt;"</f>
        <v>&lt;color=#edde00&gt;魔彩仙灵（男）&lt;/color&gt;</v>
      </c>
    </row>
    <row r="247" spans="2:18" x14ac:dyDescent="0.3">
      <c r="B247" s="1">
        <v>20102</v>
      </c>
      <c r="C247" s="16" t="s">
        <v>376</v>
      </c>
      <c r="E247" s="1">
        <v>5</v>
      </c>
      <c r="F247" s="4">
        <v>8</v>
      </c>
      <c r="G247" s="10">
        <v>5</v>
      </c>
      <c r="H247" s="10">
        <v>1</v>
      </c>
      <c r="I247" s="13"/>
      <c r="J247" s="13" t="s">
        <v>352</v>
      </c>
      <c r="L247" s="4">
        <f t="shared" si="15"/>
        <v>20102</v>
      </c>
      <c r="M247" s="4">
        <v>0</v>
      </c>
      <c r="N247" s="4">
        <f t="shared" si="17"/>
        <v>20102</v>
      </c>
      <c r="O247" s="4">
        <v>1</v>
      </c>
      <c r="P247" s="4">
        <v>0</v>
      </c>
      <c r="Q247" s="4">
        <v>1</v>
      </c>
      <c r="R247" s="7" t="str">
        <f>"&lt;color=#"&amp;VLOOKUP(E247,[1]品质主表!$B$6:$C$13,2,FALSE)&amp;"&gt;"&amp;C247&amp;"&lt;/color&gt;"</f>
        <v>&lt;color=#ff8000&gt;仙风道骨（男）&lt;/color&gt;</v>
      </c>
    </row>
    <row r="248" spans="2:18" x14ac:dyDescent="0.3">
      <c r="B248" s="1">
        <v>20103</v>
      </c>
      <c r="C248" s="16" t="s">
        <v>375</v>
      </c>
      <c r="E248" s="1">
        <v>5</v>
      </c>
      <c r="F248" s="4">
        <v>8</v>
      </c>
      <c r="G248" s="10">
        <v>5</v>
      </c>
      <c r="H248" s="10">
        <v>1</v>
      </c>
      <c r="I248" s="13"/>
      <c r="J248" s="13" t="s">
        <v>353</v>
      </c>
      <c r="L248" s="4">
        <f t="shared" si="15"/>
        <v>20103</v>
      </c>
      <c r="M248" s="4">
        <v>0</v>
      </c>
      <c r="N248" s="4">
        <f t="shared" si="17"/>
        <v>20103</v>
      </c>
      <c r="O248" s="4">
        <v>1</v>
      </c>
      <c r="P248" s="4">
        <v>0</v>
      </c>
      <c r="Q248" s="4">
        <v>1</v>
      </c>
      <c r="R248" s="7" t="str">
        <f>"&lt;color=#"&amp;VLOOKUP(E248,[1]品质主表!$B$6:$C$13,2,FALSE)&amp;"&gt;"&amp;C248&amp;"&lt;/color&gt;"</f>
        <v>&lt;color=#ff8000&gt;风华绝代（男）&lt;/color&gt;</v>
      </c>
    </row>
    <row r="249" spans="2:18" x14ac:dyDescent="0.3">
      <c r="B249" s="1">
        <v>20104</v>
      </c>
      <c r="C249" s="16" t="s">
        <v>644</v>
      </c>
      <c r="D249" s="16"/>
      <c r="E249" s="1">
        <v>5</v>
      </c>
      <c r="F249" s="4">
        <v>8</v>
      </c>
      <c r="G249" s="10">
        <v>5</v>
      </c>
      <c r="H249" s="10">
        <v>1</v>
      </c>
      <c r="I249" s="13"/>
      <c r="J249" s="13" t="s">
        <v>354</v>
      </c>
      <c r="L249" s="4">
        <f t="shared" si="15"/>
        <v>20104</v>
      </c>
      <c r="M249" s="4">
        <v>0</v>
      </c>
      <c r="N249" s="4">
        <f t="shared" si="17"/>
        <v>20104</v>
      </c>
      <c r="O249" s="4">
        <v>1</v>
      </c>
      <c r="P249" s="4">
        <v>0</v>
      </c>
      <c r="Q249" s="4">
        <v>1</v>
      </c>
      <c r="R249" s="7" t="str">
        <f>"&lt;color=#"&amp;VLOOKUP(E249,[1]品质主表!$B$6:$C$13,2,FALSE)&amp;"&gt;"&amp;C249&amp;"&lt;/color&gt;"</f>
        <v>&lt;color=#ff8000&gt;逍遥游侠（男）&lt;/color&gt;</v>
      </c>
    </row>
    <row r="250" spans="2:18" x14ac:dyDescent="0.3">
      <c r="B250" s="1">
        <v>20105</v>
      </c>
      <c r="C250" s="16" t="s">
        <v>376</v>
      </c>
      <c r="E250" s="1">
        <v>7</v>
      </c>
      <c r="F250" s="4">
        <v>8</v>
      </c>
      <c r="G250" s="10">
        <v>5</v>
      </c>
      <c r="H250" s="10">
        <v>1</v>
      </c>
      <c r="I250" s="13"/>
      <c r="J250" s="13" t="s">
        <v>355</v>
      </c>
      <c r="L250" s="4">
        <f t="shared" si="15"/>
        <v>20105</v>
      </c>
      <c r="M250" s="4">
        <v>0</v>
      </c>
      <c r="N250" s="4">
        <f t="shared" si="17"/>
        <v>20105</v>
      </c>
      <c r="O250" s="4">
        <v>1</v>
      </c>
      <c r="P250" s="4">
        <v>0</v>
      </c>
      <c r="Q250" s="4">
        <v>1</v>
      </c>
      <c r="R250" s="7" t="str">
        <f>"&lt;color=#"&amp;VLOOKUP(E250,[1]品质主表!$B$6:$C$13,2,FALSE)&amp;"&gt;"&amp;C250&amp;"&lt;/color&gt;"</f>
        <v>&lt;color=#ff779d&gt;仙风道骨（男）&lt;/color&gt;</v>
      </c>
    </row>
    <row r="251" spans="2:18" x14ac:dyDescent="0.3">
      <c r="B251" s="1">
        <v>20201</v>
      </c>
      <c r="C251" s="16" t="s">
        <v>651</v>
      </c>
      <c r="E251" s="1">
        <v>7</v>
      </c>
      <c r="F251" s="4">
        <v>8</v>
      </c>
      <c r="G251" s="10">
        <v>5</v>
      </c>
      <c r="H251" s="10">
        <v>1</v>
      </c>
      <c r="I251" s="19"/>
      <c r="J251" s="13" t="s">
        <v>356</v>
      </c>
      <c r="K251" s="19"/>
      <c r="L251" s="4">
        <f t="shared" si="15"/>
        <v>20201</v>
      </c>
      <c r="M251" s="4">
        <v>0</v>
      </c>
      <c r="N251" s="4">
        <f t="shared" si="17"/>
        <v>20201</v>
      </c>
      <c r="O251" s="4">
        <v>1</v>
      </c>
      <c r="P251" s="4">
        <v>0</v>
      </c>
      <c r="Q251" s="4">
        <v>1</v>
      </c>
      <c r="R251" s="7" t="str">
        <f>"&lt;color=#"&amp;VLOOKUP(E251,[1]品质主表!$B$6:$C$13,2,FALSE)&amp;"&gt;"&amp;C251&amp;"&lt;/color&gt;"</f>
        <v>&lt;color=#ff779d&gt;焰武神隐（男）&lt;/color&gt;</v>
      </c>
    </row>
    <row r="252" spans="2:18" x14ac:dyDescent="0.3">
      <c r="B252" s="1">
        <v>20202</v>
      </c>
      <c r="C252" s="16" t="s">
        <v>650</v>
      </c>
      <c r="E252" s="1">
        <v>6</v>
      </c>
      <c r="F252" s="4">
        <v>8</v>
      </c>
      <c r="G252" s="10">
        <v>5</v>
      </c>
      <c r="H252" s="10">
        <v>1</v>
      </c>
      <c r="J252" s="13" t="s">
        <v>357</v>
      </c>
      <c r="L252" s="4">
        <f t="shared" si="15"/>
        <v>20202</v>
      </c>
      <c r="M252" s="4">
        <v>0</v>
      </c>
      <c r="N252" s="4">
        <f t="shared" si="17"/>
        <v>20202</v>
      </c>
      <c r="O252" s="4">
        <v>1</v>
      </c>
      <c r="P252" s="4">
        <v>0</v>
      </c>
      <c r="Q252" s="4">
        <v>1</v>
      </c>
      <c r="R252" s="7" t="str">
        <f>"&lt;color=#"&amp;VLOOKUP(E252,[1]品质主表!$B$6:$C$13,2,FALSE)&amp;"&gt;"&amp;C252&amp;"&lt;/color&gt;"</f>
        <v>&lt;color=#ff4d4d&gt;幻梦仙踪（男）&lt;/color&gt;</v>
      </c>
    </row>
    <row r="253" spans="2:18" x14ac:dyDescent="0.3">
      <c r="B253" s="1">
        <v>20203</v>
      </c>
      <c r="C253" s="16" t="s">
        <v>651</v>
      </c>
      <c r="E253" s="1">
        <v>6</v>
      </c>
      <c r="F253" s="4">
        <v>8</v>
      </c>
      <c r="G253" s="10">
        <v>5</v>
      </c>
      <c r="H253" s="10">
        <v>1</v>
      </c>
      <c r="J253" s="13" t="s">
        <v>358</v>
      </c>
      <c r="L253" s="4">
        <f t="shared" si="15"/>
        <v>20203</v>
      </c>
      <c r="M253" s="4">
        <v>0</v>
      </c>
      <c r="N253" s="4">
        <f t="shared" si="17"/>
        <v>20203</v>
      </c>
      <c r="O253" s="4">
        <v>1</v>
      </c>
      <c r="P253" s="4">
        <v>0</v>
      </c>
      <c r="Q253" s="4">
        <v>1</v>
      </c>
      <c r="R253" s="7" t="str">
        <f>"&lt;color=#"&amp;VLOOKUP(E253,[1]品质主表!$B$6:$C$13,2,FALSE)&amp;"&gt;"&amp;C253&amp;"&lt;/color&gt;"</f>
        <v>&lt;color=#ff4d4d&gt;焰武神隐（男）&lt;/color&gt;</v>
      </c>
    </row>
    <row r="254" spans="2:18" x14ac:dyDescent="0.3">
      <c r="B254" s="1">
        <v>20301</v>
      </c>
      <c r="C254" s="16" t="s">
        <v>382</v>
      </c>
      <c r="E254" s="1">
        <v>7</v>
      </c>
      <c r="F254" s="4">
        <v>8</v>
      </c>
      <c r="G254" s="10">
        <v>5</v>
      </c>
      <c r="H254" s="10">
        <v>1</v>
      </c>
      <c r="J254" s="13" t="s">
        <v>359</v>
      </c>
      <c r="L254" s="4">
        <f t="shared" si="15"/>
        <v>20301</v>
      </c>
      <c r="M254" s="4">
        <v>0</v>
      </c>
      <c r="N254" s="4">
        <f t="shared" si="17"/>
        <v>20301</v>
      </c>
      <c r="O254" s="4">
        <v>1</v>
      </c>
      <c r="P254" s="4">
        <v>0</v>
      </c>
      <c r="Q254" s="4">
        <v>1</v>
      </c>
      <c r="R254" s="7" t="str">
        <f>"&lt;color=#"&amp;VLOOKUP(E254,[1]品质主表!$B$6:$C$13,2,FALSE)&amp;"&gt;"&amp;C254&amp;"&lt;/color&gt;"</f>
        <v>&lt;color=#ff779d&gt;邪影狂澜（男）&lt;/color&gt;</v>
      </c>
    </row>
    <row r="255" spans="2:18" x14ac:dyDescent="0.3">
      <c r="B255" s="1">
        <v>20302</v>
      </c>
      <c r="C255" s="16" t="s">
        <v>549</v>
      </c>
      <c r="D255" s="16"/>
      <c r="E255" s="1">
        <v>6</v>
      </c>
      <c r="F255" s="4">
        <v>8</v>
      </c>
      <c r="G255" s="10">
        <v>5</v>
      </c>
      <c r="H255" s="10">
        <v>1</v>
      </c>
      <c r="J255" s="13" t="s">
        <v>360</v>
      </c>
      <c r="L255" s="4">
        <f t="shared" si="15"/>
        <v>20302</v>
      </c>
      <c r="M255" s="4">
        <v>0</v>
      </c>
      <c r="N255" s="4">
        <f t="shared" si="17"/>
        <v>20302</v>
      </c>
      <c r="O255" s="4">
        <v>1</v>
      </c>
      <c r="P255" s="4">
        <v>0</v>
      </c>
      <c r="Q255" s="4">
        <v>1</v>
      </c>
      <c r="R255" s="7" t="str">
        <f>"&lt;color=#"&amp;VLOOKUP(E255,[1]品质主表!$B$6:$C$13,2,FALSE)&amp;"&gt;"&amp;C255&amp;"&lt;/color&gt;"</f>
        <v>&lt;color=#ff4d4d&gt;灵台明镜（男）&lt;/color&gt;</v>
      </c>
    </row>
    <row r="256" spans="2:18" x14ac:dyDescent="0.3">
      <c r="B256" s="1">
        <v>20303</v>
      </c>
      <c r="C256" s="16" t="s">
        <v>382</v>
      </c>
      <c r="E256" s="1">
        <v>6</v>
      </c>
      <c r="F256" s="4">
        <v>8</v>
      </c>
      <c r="G256" s="10">
        <v>5</v>
      </c>
      <c r="H256" s="10">
        <v>1</v>
      </c>
      <c r="J256" s="13" t="s">
        <v>361</v>
      </c>
      <c r="L256" s="4">
        <f t="shared" si="15"/>
        <v>20303</v>
      </c>
      <c r="M256" s="4">
        <v>0</v>
      </c>
      <c r="N256" s="4">
        <f t="shared" si="17"/>
        <v>20303</v>
      </c>
      <c r="O256" s="4">
        <v>1</v>
      </c>
      <c r="P256" s="4">
        <v>0</v>
      </c>
      <c r="Q256" s="4">
        <v>1</v>
      </c>
      <c r="R256" s="7" t="str">
        <f>"&lt;color=#"&amp;VLOOKUP(E256,[1]品质主表!$B$6:$C$13,2,FALSE)&amp;"&gt;"&amp;C256&amp;"&lt;/color&gt;"</f>
        <v>&lt;color=#ff4d4d&gt;邪影狂澜（男）&lt;/color&gt;</v>
      </c>
    </row>
    <row r="257" spans="2:18" x14ac:dyDescent="0.3">
      <c r="B257" s="1">
        <v>20401</v>
      </c>
      <c r="C257" s="16" t="s">
        <v>380</v>
      </c>
      <c r="E257" s="1">
        <v>7</v>
      </c>
      <c r="F257" s="4">
        <v>8</v>
      </c>
      <c r="G257" s="10">
        <v>5</v>
      </c>
      <c r="H257" s="10">
        <v>1</v>
      </c>
      <c r="J257" s="13" t="s">
        <v>541</v>
      </c>
      <c r="L257" s="4">
        <f t="shared" si="15"/>
        <v>20401</v>
      </c>
      <c r="M257" s="4">
        <v>0</v>
      </c>
      <c r="N257" s="4">
        <f t="shared" ref="N257:N259" si="22">L257</f>
        <v>20401</v>
      </c>
      <c r="O257" s="4">
        <v>1</v>
      </c>
      <c r="P257" s="4">
        <v>0</v>
      </c>
      <c r="Q257" s="4">
        <v>1</v>
      </c>
      <c r="R257" s="7" t="str">
        <f>"&lt;color=#"&amp;VLOOKUP(E257,[1]品质主表!$B$6:$C$13,2,FALSE)&amp;"&gt;"&amp;C257&amp;"&lt;/color&gt;"</f>
        <v>&lt;color=#ff779d&gt;霸天狂仙（男）&lt;/color&gt;</v>
      </c>
    </row>
    <row r="258" spans="2:18" x14ac:dyDescent="0.3">
      <c r="B258" s="1">
        <v>20402</v>
      </c>
      <c r="C258" s="16" t="s">
        <v>381</v>
      </c>
      <c r="E258" s="1">
        <v>6</v>
      </c>
      <c r="F258" s="4">
        <v>8</v>
      </c>
      <c r="G258" s="10">
        <v>5</v>
      </c>
      <c r="H258" s="10">
        <v>1</v>
      </c>
      <c r="J258" s="13" t="s">
        <v>542</v>
      </c>
      <c r="L258" s="4">
        <f t="shared" si="15"/>
        <v>20402</v>
      </c>
      <c r="M258" s="4">
        <v>0</v>
      </c>
      <c r="N258" s="4">
        <f t="shared" si="22"/>
        <v>20402</v>
      </c>
      <c r="O258" s="4">
        <v>1</v>
      </c>
      <c r="P258" s="4">
        <v>0</v>
      </c>
      <c r="Q258" s="4">
        <v>1</v>
      </c>
      <c r="R258" s="7" t="str">
        <f>"&lt;color=#"&amp;VLOOKUP(E258,[1]品质主表!$B$6:$C$13,2,FALSE)&amp;"&gt;"&amp;C258&amp;"&lt;/color&gt;"</f>
        <v>&lt;color=#ff4d4d&gt;魔焰焚身（男）&lt;/color&gt;</v>
      </c>
    </row>
    <row r="259" spans="2:18" x14ac:dyDescent="0.3">
      <c r="B259" s="1">
        <v>20901</v>
      </c>
      <c r="C259" s="16" t="s">
        <v>799</v>
      </c>
      <c r="E259" s="1">
        <v>7</v>
      </c>
      <c r="F259" s="4">
        <v>8</v>
      </c>
      <c r="G259" s="10">
        <v>5</v>
      </c>
      <c r="H259" s="10">
        <v>1</v>
      </c>
      <c r="J259" s="13" t="s">
        <v>804</v>
      </c>
      <c r="L259" s="4">
        <f t="shared" si="15"/>
        <v>20901</v>
      </c>
      <c r="M259" s="4">
        <v>0</v>
      </c>
      <c r="N259" s="4">
        <f t="shared" si="22"/>
        <v>20901</v>
      </c>
      <c r="O259" s="4">
        <v>1</v>
      </c>
      <c r="P259" s="4">
        <v>0</v>
      </c>
      <c r="Q259" s="4">
        <v>1</v>
      </c>
      <c r="R259" s="7" t="str">
        <f>"&lt;color=#"&amp;VLOOKUP(E259,[1]品质主表!$B$6:$C$13,2,FALSE)&amp;"&gt;"&amp;C259&amp;"&lt;/color&gt;"</f>
        <v>&lt;color=#ff779d&gt;凤舞九天（男）&lt;/color&gt;</v>
      </c>
    </row>
    <row r="260" spans="2:18" x14ac:dyDescent="0.3">
      <c r="B260" s="1">
        <v>20902</v>
      </c>
      <c r="C260" s="16" t="s">
        <v>1000</v>
      </c>
      <c r="E260" s="1">
        <v>7</v>
      </c>
      <c r="F260" s="4">
        <v>8</v>
      </c>
      <c r="G260" s="10">
        <v>5</v>
      </c>
      <c r="H260" s="10">
        <v>1</v>
      </c>
      <c r="J260" s="13" t="s">
        <v>1001</v>
      </c>
      <c r="L260" s="4">
        <f t="shared" ref="L260" si="23">B260</f>
        <v>20902</v>
      </c>
      <c r="M260" s="4">
        <v>0</v>
      </c>
      <c r="N260" s="4">
        <f t="shared" ref="N260" si="24">L260</f>
        <v>20902</v>
      </c>
      <c r="O260" s="4">
        <v>1</v>
      </c>
      <c r="P260" s="4">
        <v>0</v>
      </c>
      <c r="Q260" s="4">
        <v>1</v>
      </c>
      <c r="R260" s="7" t="str">
        <f>"&lt;color=#"&amp;VLOOKUP(E260,[1]品质主表!$B$6:$C$13,2,FALSE)&amp;"&gt;"&amp;C260&amp;"&lt;/color&gt;"</f>
        <v>&lt;color=#ff779d&gt;帝皇威临（男）&lt;/color&gt;</v>
      </c>
    </row>
    <row r="261" spans="2:18" x14ac:dyDescent="0.3">
      <c r="B261" s="1">
        <v>21001</v>
      </c>
      <c r="C261" s="16" t="s">
        <v>438</v>
      </c>
      <c r="E261" s="1">
        <v>1</v>
      </c>
      <c r="F261" s="4">
        <v>8</v>
      </c>
      <c r="G261" s="10">
        <v>5</v>
      </c>
      <c r="H261" s="10">
        <v>1</v>
      </c>
      <c r="J261" s="13" t="s">
        <v>253</v>
      </c>
      <c r="L261" s="4">
        <f t="shared" si="15"/>
        <v>21001</v>
      </c>
      <c r="M261" s="4">
        <v>0</v>
      </c>
      <c r="N261" s="4">
        <f t="shared" si="17"/>
        <v>21001</v>
      </c>
      <c r="O261" s="4">
        <v>1</v>
      </c>
      <c r="P261" s="4">
        <v>0</v>
      </c>
      <c r="Q261" s="4">
        <v>1</v>
      </c>
      <c r="R261" s="7" t="str">
        <f>"&lt;color=#"&amp;VLOOKUP(E261,[1]品质主表!$B$6:$C$13,2,FALSE)&amp;"&gt;"&amp;C261&amp;"&lt;/color&gt;"</f>
        <v>&lt;color=#18e71a&gt;外门弟子服（女）&lt;/color&gt;</v>
      </c>
    </row>
    <row r="262" spans="2:18" x14ac:dyDescent="0.3">
      <c r="B262" s="1">
        <v>21002</v>
      </c>
      <c r="C262" s="16" t="s">
        <v>439</v>
      </c>
      <c r="E262" s="1">
        <v>1</v>
      </c>
      <c r="F262" s="4">
        <v>8</v>
      </c>
      <c r="G262" s="10">
        <v>5</v>
      </c>
      <c r="H262" s="10">
        <v>1</v>
      </c>
      <c r="J262" s="13" t="s">
        <v>255</v>
      </c>
      <c r="L262" s="4">
        <f t="shared" si="15"/>
        <v>21002</v>
      </c>
      <c r="M262" s="4">
        <v>0</v>
      </c>
      <c r="N262" s="4">
        <f t="shared" si="17"/>
        <v>21002</v>
      </c>
      <c r="O262" s="4">
        <v>1</v>
      </c>
      <c r="P262" s="4">
        <v>0</v>
      </c>
      <c r="Q262" s="4">
        <v>1</v>
      </c>
      <c r="R262" s="7" t="str">
        <f>"&lt;color=#"&amp;VLOOKUP(E262,[1]品质主表!$B$6:$C$13,2,FALSE)&amp;"&gt;"&amp;C262&amp;"&lt;/color&gt;"</f>
        <v>&lt;color=#18e71a&gt;内门弟子服（女）&lt;/color&gt;</v>
      </c>
    </row>
    <row r="263" spans="2:18" x14ac:dyDescent="0.3">
      <c r="B263" s="1">
        <v>21003</v>
      </c>
      <c r="C263" s="16" t="s">
        <v>654</v>
      </c>
      <c r="E263" s="1">
        <v>2</v>
      </c>
      <c r="F263" s="4">
        <v>8</v>
      </c>
      <c r="G263" s="10">
        <v>5</v>
      </c>
      <c r="H263" s="10">
        <v>1</v>
      </c>
      <c r="J263" s="13" t="s">
        <v>257</v>
      </c>
      <c r="L263" s="4">
        <f t="shared" si="15"/>
        <v>21003</v>
      </c>
      <c r="M263" s="4">
        <v>0</v>
      </c>
      <c r="N263" s="4">
        <f t="shared" si="17"/>
        <v>21003</v>
      </c>
      <c r="O263" s="4">
        <v>1</v>
      </c>
      <c r="P263" s="4">
        <v>0</v>
      </c>
      <c r="Q263" s="4">
        <v>1</v>
      </c>
      <c r="R263" s="7" t="str">
        <f>"&lt;color=#"&amp;VLOOKUP(E263,[1]品质主表!$B$6:$C$13,2,FALSE)&amp;"&gt;"&amp;C263&amp;"&lt;/color&gt;"</f>
        <v>&lt;color=#40f3ff&gt;精英弟子服（女）&lt;/color&gt;</v>
      </c>
    </row>
    <row r="264" spans="2:18" x14ac:dyDescent="0.3">
      <c r="B264" s="1">
        <v>21004</v>
      </c>
      <c r="C264" s="16" t="s">
        <v>440</v>
      </c>
      <c r="E264" s="1">
        <v>2</v>
      </c>
      <c r="F264" s="4">
        <v>8</v>
      </c>
      <c r="G264" s="10">
        <v>5</v>
      </c>
      <c r="H264" s="10">
        <v>1</v>
      </c>
      <c r="J264" s="13" t="s">
        <v>259</v>
      </c>
      <c r="L264" s="4">
        <f t="shared" si="15"/>
        <v>21004</v>
      </c>
      <c r="M264" s="4">
        <v>0</v>
      </c>
      <c r="N264" s="4">
        <f t="shared" si="17"/>
        <v>21004</v>
      </c>
      <c r="O264" s="4">
        <v>1</v>
      </c>
      <c r="P264" s="4">
        <v>0</v>
      </c>
      <c r="Q264" s="4">
        <v>1</v>
      </c>
      <c r="R264" s="7" t="str">
        <f>"&lt;color=#"&amp;VLOOKUP(E264,[1]品质主表!$B$6:$C$13,2,FALSE)&amp;"&gt;"&amp;C264&amp;"&lt;/color&gt;"</f>
        <v>&lt;color=#40f3ff&gt;亲传弟子服（女）&lt;/color&gt;</v>
      </c>
    </row>
    <row r="265" spans="2:18" x14ac:dyDescent="0.3">
      <c r="B265" s="1">
        <v>21005</v>
      </c>
      <c r="C265" s="16" t="s">
        <v>441</v>
      </c>
      <c r="E265" s="1">
        <v>3</v>
      </c>
      <c r="F265" s="4">
        <v>8</v>
      </c>
      <c r="G265" s="10">
        <v>5</v>
      </c>
      <c r="H265" s="10">
        <v>1</v>
      </c>
      <c r="J265" s="13" t="s">
        <v>261</v>
      </c>
      <c r="L265" s="4">
        <f t="shared" si="15"/>
        <v>21005</v>
      </c>
      <c r="M265" s="4">
        <v>0</v>
      </c>
      <c r="N265" s="4">
        <f t="shared" si="17"/>
        <v>21005</v>
      </c>
      <c r="O265" s="4">
        <v>1</v>
      </c>
      <c r="P265" s="4">
        <v>0</v>
      </c>
      <c r="Q265" s="4">
        <v>1</v>
      </c>
      <c r="R265" s="7" t="str">
        <f>"&lt;color=#"&amp;VLOOKUP(E265,[1]品质主表!$B$6:$C$13,2,FALSE)&amp;"&gt;"&amp;C265&amp;"&lt;/color&gt;"</f>
        <v>&lt;color=#f044dc&gt;执事服（女）&lt;/color&gt;</v>
      </c>
    </row>
    <row r="266" spans="2:18" x14ac:dyDescent="0.3">
      <c r="B266" s="1">
        <v>21006</v>
      </c>
      <c r="C266" s="16" t="s">
        <v>442</v>
      </c>
      <c r="E266" s="1">
        <v>3</v>
      </c>
      <c r="F266" s="4">
        <v>8</v>
      </c>
      <c r="G266" s="10">
        <v>5</v>
      </c>
      <c r="H266" s="10">
        <v>1</v>
      </c>
      <c r="J266" s="13" t="s">
        <v>263</v>
      </c>
      <c r="L266" s="4">
        <f t="shared" si="15"/>
        <v>21006</v>
      </c>
      <c r="M266" s="4">
        <v>0</v>
      </c>
      <c r="N266" s="4">
        <f t="shared" si="17"/>
        <v>21006</v>
      </c>
      <c r="O266" s="4">
        <v>1</v>
      </c>
      <c r="P266" s="4">
        <v>0</v>
      </c>
      <c r="Q266" s="4">
        <v>1</v>
      </c>
      <c r="R266" s="7" t="str">
        <f>"&lt;color=#"&amp;VLOOKUP(E266,[1]品质主表!$B$6:$C$13,2,FALSE)&amp;"&gt;"&amp;C266&amp;"&lt;/color&gt;"</f>
        <v>&lt;color=#f044dc&gt;长老服（女）&lt;/color&gt;</v>
      </c>
    </row>
    <row r="267" spans="2:18" x14ac:dyDescent="0.3">
      <c r="B267" s="1">
        <v>21011</v>
      </c>
      <c r="C267" s="16" t="s">
        <v>493</v>
      </c>
      <c r="E267" s="1">
        <v>7</v>
      </c>
      <c r="F267" s="4">
        <v>8</v>
      </c>
      <c r="G267" s="10">
        <v>5</v>
      </c>
      <c r="H267" s="10">
        <v>1</v>
      </c>
      <c r="J267" s="13" t="s">
        <v>494</v>
      </c>
      <c r="L267" s="4">
        <f t="shared" si="15"/>
        <v>21011</v>
      </c>
      <c r="M267" s="4">
        <v>0</v>
      </c>
      <c r="N267" s="4">
        <f t="shared" si="17"/>
        <v>21011</v>
      </c>
      <c r="O267" s="4">
        <v>1</v>
      </c>
      <c r="P267" s="4">
        <v>0</v>
      </c>
      <c r="Q267" s="4">
        <v>1</v>
      </c>
      <c r="R267" s="7" t="str">
        <f>"&lt;color=#"&amp;VLOOKUP(E267,[1]品质主表!$B$6:$C$13,2,FALSE)&amp;"&gt;"&amp;C267&amp;"&lt;/color&gt;"</f>
        <v>&lt;color=#ff779d&gt;浩然仙宗（女-1天）&lt;/color&gt;</v>
      </c>
    </row>
    <row r="268" spans="2:18" x14ac:dyDescent="0.3">
      <c r="B268" s="1">
        <v>21012</v>
      </c>
      <c r="C268" s="16" t="s">
        <v>498</v>
      </c>
      <c r="E268" s="1">
        <v>7</v>
      </c>
      <c r="F268" s="4">
        <v>8</v>
      </c>
      <c r="G268" s="10">
        <v>5</v>
      </c>
      <c r="H268" s="10">
        <v>1</v>
      </c>
      <c r="J268" s="13" t="s">
        <v>495</v>
      </c>
      <c r="L268" s="4">
        <f t="shared" si="15"/>
        <v>21012</v>
      </c>
      <c r="M268" s="4">
        <v>0</v>
      </c>
      <c r="N268" s="4">
        <f>N267</f>
        <v>21011</v>
      </c>
      <c r="O268" s="4">
        <v>1</v>
      </c>
      <c r="P268" s="4">
        <v>0</v>
      </c>
      <c r="Q268" s="4">
        <v>1</v>
      </c>
      <c r="R268" s="7" t="str">
        <f>"&lt;color=#"&amp;VLOOKUP(E268,[1]品质主表!$B$6:$C$13,2,FALSE)&amp;"&gt;"&amp;C268&amp;"&lt;/color&gt;"</f>
        <v>&lt;color=#ff779d&gt;浩然仙宗（女-3天）&lt;/color&gt;</v>
      </c>
    </row>
    <row r="269" spans="2:18" x14ac:dyDescent="0.3">
      <c r="B269" s="1">
        <v>21013</v>
      </c>
      <c r="C269" s="16" t="s">
        <v>500</v>
      </c>
      <c r="E269" s="1">
        <v>7</v>
      </c>
      <c r="F269" s="4">
        <v>8</v>
      </c>
      <c r="G269" s="10">
        <v>5</v>
      </c>
      <c r="H269" s="10">
        <v>1</v>
      </c>
      <c r="J269" s="13" t="s">
        <v>496</v>
      </c>
      <c r="L269" s="4">
        <f t="shared" ref="L269:L302" si="25">B269</f>
        <v>21013</v>
      </c>
      <c r="M269" s="4">
        <v>0</v>
      </c>
      <c r="N269" s="4">
        <f>N268</f>
        <v>21011</v>
      </c>
      <c r="O269" s="4">
        <v>1</v>
      </c>
      <c r="P269" s="4">
        <v>0</v>
      </c>
      <c r="Q269" s="4">
        <v>1</v>
      </c>
      <c r="R269" s="7" t="str">
        <f>"&lt;color=#"&amp;VLOOKUP(E269,[1]品质主表!$B$6:$C$13,2,FALSE)&amp;"&gt;"&amp;C269&amp;"&lt;/color&gt;"</f>
        <v>&lt;color=#ff779d&gt;浩然仙宗（女-5天）&lt;/color&gt;</v>
      </c>
    </row>
    <row r="270" spans="2:18" x14ac:dyDescent="0.3">
      <c r="B270" s="1">
        <v>21014</v>
      </c>
      <c r="C270" s="16" t="s">
        <v>789</v>
      </c>
      <c r="E270" s="1">
        <v>7</v>
      </c>
      <c r="F270" s="4">
        <v>8</v>
      </c>
      <c r="G270" s="10">
        <v>5</v>
      </c>
      <c r="H270" s="10">
        <v>1</v>
      </c>
      <c r="J270" s="13" t="s">
        <v>773</v>
      </c>
      <c r="L270" s="4">
        <f t="shared" si="25"/>
        <v>21014</v>
      </c>
      <c r="M270" s="4">
        <v>0</v>
      </c>
      <c r="N270" s="4">
        <f t="shared" ref="N270" si="26">L270</f>
        <v>21014</v>
      </c>
      <c r="O270" s="4">
        <v>1</v>
      </c>
      <c r="P270" s="4">
        <v>0</v>
      </c>
      <c r="Q270" s="4">
        <v>1</v>
      </c>
      <c r="R270" s="7" t="str">
        <f>"&lt;color=#"&amp;VLOOKUP(E270,[1]品质主表!$B$6:$C$13,2,FALSE)&amp;"&gt;"&amp;C270&amp;"&lt;/color&gt;"</f>
        <v>&lt;color=#ff779d&gt;火凰萌羽（女-1天）&lt;/color&gt;</v>
      </c>
    </row>
    <row r="271" spans="2:18" x14ac:dyDescent="0.3">
      <c r="B271" s="1">
        <v>21015</v>
      </c>
      <c r="C271" s="25" t="s">
        <v>969</v>
      </c>
      <c r="E271" s="1">
        <v>7</v>
      </c>
      <c r="F271" s="4">
        <v>8</v>
      </c>
      <c r="G271" s="10">
        <v>5</v>
      </c>
      <c r="H271" s="10">
        <v>1</v>
      </c>
      <c r="J271" s="13" t="s">
        <v>970</v>
      </c>
      <c r="L271" s="4">
        <f t="shared" ref="L271" si="27">B271</f>
        <v>21015</v>
      </c>
      <c r="M271" s="4">
        <v>0</v>
      </c>
      <c r="N271" s="4">
        <f t="shared" ref="N271" si="28">L271</f>
        <v>21015</v>
      </c>
      <c r="O271" s="4">
        <v>1</v>
      </c>
      <c r="P271" s="4">
        <v>0</v>
      </c>
      <c r="Q271" s="4">
        <v>1</v>
      </c>
      <c r="R271" s="7" t="str">
        <f>"&lt;color=#"&amp;VLOOKUP(E271,[1]品质主表!$B$6:$C$13,2,FALSE)&amp;"&gt;"&amp;C271&amp;"&lt;/color&gt;"</f>
        <v>&lt;color=#ff779d&gt;蝶舞霓裳（女）&lt;/color&gt;</v>
      </c>
    </row>
    <row r="272" spans="2:18" x14ac:dyDescent="0.3">
      <c r="B272" s="1">
        <v>21101</v>
      </c>
      <c r="C272" s="16" t="s">
        <v>377</v>
      </c>
      <c r="E272" s="1">
        <v>4</v>
      </c>
      <c r="F272" s="4">
        <v>8</v>
      </c>
      <c r="G272" s="10">
        <v>5</v>
      </c>
      <c r="H272" s="10">
        <v>1</v>
      </c>
      <c r="I272" s="13"/>
      <c r="J272" s="13" t="s">
        <v>362</v>
      </c>
      <c r="L272" s="4">
        <f t="shared" si="25"/>
        <v>21101</v>
      </c>
      <c r="M272" s="4">
        <v>0</v>
      </c>
      <c r="N272" s="4">
        <f t="shared" si="17"/>
        <v>21101</v>
      </c>
      <c r="O272" s="4">
        <v>1</v>
      </c>
      <c r="P272" s="4">
        <v>0</v>
      </c>
      <c r="Q272" s="4">
        <v>1</v>
      </c>
      <c r="R272" s="7" t="str">
        <f>"&lt;color=#"&amp;VLOOKUP(E272,[1]品质主表!$B$6:$C$13,2,FALSE)&amp;"&gt;"&amp;C272&amp;"&lt;/color&gt;"</f>
        <v>&lt;color=#edde00&gt;魔彩仙灵（女）&lt;/color&gt;</v>
      </c>
    </row>
    <row r="273" spans="2:18" x14ac:dyDescent="0.3">
      <c r="B273" s="1">
        <v>21102</v>
      </c>
      <c r="C273" s="16" t="s">
        <v>379</v>
      </c>
      <c r="E273" s="1">
        <v>5</v>
      </c>
      <c r="F273" s="4">
        <v>8</v>
      </c>
      <c r="G273" s="10">
        <v>5</v>
      </c>
      <c r="H273" s="10">
        <v>1</v>
      </c>
      <c r="I273" s="13"/>
      <c r="J273" s="13" t="s">
        <v>363</v>
      </c>
      <c r="L273" s="4">
        <f t="shared" si="25"/>
        <v>21102</v>
      </c>
      <c r="M273" s="4">
        <v>0</v>
      </c>
      <c r="N273" s="4">
        <f t="shared" si="17"/>
        <v>21102</v>
      </c>
      <c r="O273" s="4">
        <v>1</v>
      </c>
      <c r="P273" s="4">
        <v>0</v>
      </c>
      <c r="Q273" s="4">
        <v>1</v>
      </c>
      <c r="R273" s="7" t="str">
        <f>"&lt;color=#"&amp;VLOOKUP(E273,[1]品质主表!$B$6:$C$13,2,FALSE)&amp;"&gt;"&amp;C273&amp;"&lt;/color&gt;"</f>
        <v>&lt;color=#ff8000&gt;仙风道骨（女）&lt;/color&gt;</v>
      </c>
    </row>
    <row r="274" spans="2:18" x14ac:dyDescent="0.3">
      <c r="B274" s="1">
        <v>21103</v>
      </c>
      <c r="C274" s="16" t="s">
        <v>378</v>
      </c>
      <c r="D274" s="16"/>
      <c r="E274" s="1">
        <v>5</v>
      </c>
      <c r="F274" s="4">
        <v>8</v>
      </c>
      <c r="G274" s="10">
        <v>5</v>
      </c>
      <c r="H274" s="10">
        <v>1</v>
      </c>
      <c r="I274" s="13"/>
      <c r="J274" s="13" t="s">
        <v>364</v>
      </c>
      <c r="L274" s="4">
        <f t="shared" si="25"/>
        <v>21103</v>
      </c>
      <c r="M274" s="4">
        <v>0</v>
      </c>
      <c r="N274" s="4">
        <f t="shared" si="17"/>
        <v>21103</v>
      </c>
      <c r="O274" s="4">
        <v>1</v>
      </c>
      <c r="P274" s="4">
        <v>0</v>
      </c>
      <c r="Q274" s="4">
        <v>1</v>
      </c>
      <c r="R274" s="7" t="str">
        <f>"&lt;color=#"&amp;VLOOKUP(E274,[1]品质主表!$B$6:$C$13,2,FALSE)&amp;"&gt;"&amp;C274&amp;"&lt;/color&gt;"</f>
        <v>&lt;color=#ff8000&gt;风华绝代（女）&lt;/color&gt;</v>
      </c>
    </row>
    <row r="275" spans="2:18" x14ac:dyDescent="0.3">
      <c r="B275" s="1">
        <v>21104</v>
      </c>
      <c r="C275" s="16" t="s">
        <v>645</v>
      </c>
      <c r="E275" s="1">
        <v>5</v>
      </c>
      <c r="F275" s="4">
        <v>8</v>
      </c>
      <c r="G275" s="10">
        <v>5</v>
      </c>
      <c r="H275" s="10">
        <v>1</v>
      </c>
      <c r="I275" s="13"/>
      <c r="J275" s="13" t="s">
        <v>365</v>
      </c>
      <c r="L275" s="4">
        <f t="shared" si="25"/>
        <v>21104</v>
      </c>
      <c r="M275" s="4">
        <v>0</v>
      </c>
      <c r="N275" s="4">
        <f t="shared" si="17"/>
        <v>21104</v>
      </c>
      <c r="O275" s="4">
        <v>1</v>
      </c>
      <c r="P275" s="4">
        <v>0</v>
      </c>
      <c r="Q275" s="4">
        <v>1</v>
      </c>
      <c r="R275" s="7" t="str">
        <f>"&lt;color=#"&amp;VLOOKUP(E275,[1]品质主表!$B$6:$C$13,2,FALSE)&amp;"&gt;"&amp;C275&amp;"&lt;/color&gt;"</f>
        <v>&lt;color=#ff8000&gt;逍遥游侠（女）&lt;/color&gt;</v>
      </c>
    </row>
    <row r="276" spans="2:18" x14ac:dyDescent="0.3">
      <c r="B276" s="1">
        <v>21105</v>
      </c>
      <c r="C276" s="16" t="s">
        <v>379</v>
      </c>
      <c r="E276" s="1">
        <v>7</v>
      </c>
      <c r="F276" s="4">
        <v>8</v>
      </c>
      <c r="G276" s="10">
        <v>5</v>
      </c>
      <c r="H276" s="10">
        <v>1</v>
      </c>
      <c r="I276" s="13"/>
      <c r="J276" s="13" t="s">
        <v>366</v>
      </c>
      <c r="L276" s="4">
        <f t="shared" si="25"/>
        <v>21105</v>
      </c>
      <c r="M276" s="4">
        <v>0</v>
      </c>
      <c r="N276" s="4">
        <f t="shared" si="17"/>
        <v>21105</v>
      </c>
      <c r="O276" s="4">
        <v>1</v>
      </c>
      <c r="P276" s="4">
        <v>0</v>
      </c>
      <c r="Q276" s="4">
        <v>1</v>
      </c>
      <c r="R276" s="7" t="str">
        <f>"&lt;color=#"&amp;VLOOKUP(E276,[1]品质主表!$B$6:$C$13,2,FALSE)&amp;"&gt;"&amp;C276&amp;"&lt;/color&gt;"</f>
        <v>&lt;color=#ff779d&gt;仙风道骨（女）&lt;/color&gt;</v>
      </c>
    </row>
    <row r="277" spans="2:18" x14ac:dyDescent="0.3">
      <c r="B277" s="1">
        <v>21201</v>
      </c>
      <c r="C277" s="16" t="s">
        <v>652</v>
      </c>
      <c r="E277" s="1">
        <v>7</v>
      </c>
      <c r="F277" s="4">
        <v>8</v>
      </c>
      <c r="G277" s="10">
        <v>5</v>
      </c>
      <c r="H277" s="10">
        <v>1</v>
      </c>
      <c r="J277" s="13" t="s">
        <v>367</v>
      </c>
      <c r="L277" s="4">
        <f t="shared" si="25"/>
        <v>21201</v>
      </c>
      <c r="M277" s="4">
        <v>0</v>
      </c>
      <c r="N277" s="4">
        <f t="shared" si="17"/>
        <v>21201</v>
      </c>
      <c r="O277" s="4">
        <v>1</v>
      </c>
      <c r="P277" s="4">
        <v>0</v>
      </c>
      <c r="Q277" s="4">
        <v>1</v>
      </c>
      <c r="R277" s="7" t="str">
        <f>"&lt;color=#"&amp;VLOOKUP(E277,[1]品质主表!$B$6:$C$13,2,FALSE)&amp;"&gt;"&amp;C277&amp;"&lt;/color&gt;"</f>
        <v>&lt;color=#ff779d&gt;焰武神隐（女）&lt;/color&gt;</v>
      </c>
    </row>
    <row r="278" spans="2:18" x14ac:dyDescent="0.3">
      <c r="B278" s="1">
        <v>21202</v>
      </c>
      <c r="C278" s="16" t="s">
        <v>653</v>
      </c>
      <c r="E278" s="1">
        <v>6</v>
      </c>
      <c r="F278" s="4">
        <v>8</v>
      </c>
      <c r="G278" s="10">
        <v>5</v>
      </c>
      <c r="H278" s="10">
        <v>1</v>
      </c>
      <c r="J278" s="13" t="s">
        <v>368</v>
      </c>
      <c r="L278" s="4">
        <f t="shared" si="25"/>
        <v>21202</v>
      </c>
      <c r="M278" s="4">
        <v>0</v>
      </c>
      <c r="N278" s="4">
        <f t="shared" si="17"/>
        <v>21202</v>
      </c>
      <c r="O278" s="4">
        <v>1</v>
      </c>
      <c r="P278" s="4">
        <v>0</v>
      </c>
      <c r="Q278" s="4">
        <v>1</v>
      </c>
      <c r="R278" s="7" t="str">
        <f>"&lt;color=#"&amp;VLOOKUP(E278,[1]品质主表!$B$6:$C$13,2,FALSE)&amp;"&gt;"&amp;C278&amp;"&lt;/color&gt;"</f>
        <v>&lt;color=#ff4d4d&gt;幻梦仙踪（女）&lt;/color&gt;</v>
      </c>
    </row>
    <row r="279" spans="2:18" x14ac:dyDescent="0.3">
      <c r="B279" s="1">
        <v>21203</v>
      </c>
      <c r="C279" s="16" t="s">
        <v>652</v>
      </c>
      <c r="E279" s="1">
        <v>6</v>
      </c>
      <c r="F279" s="4">
        <v>8</v>
      </c>
      <c r="G279" s="10">
        <v>5</v>
      </c>
      <c r="H279" s="10">
        <v>1</v>
      </c>
      <c r="J279" s="13" t="s">
        <v>369</v>
      </c>
      <c r="L279" s="4">
        <f t="shared" si="25"/>
        <v>21203</v>
      </c>
      <c r="M279" s="4">
        <v>0</v>
      </c>
      <c r="N279" s="4">
        <f t="shared" si="17"/>
        <v>21203</v>
      </c>
      <c r="O279" s="4">
        <v>1</v>
      </c>
      <c r="P279" s="4">
        <v>0</v>
      </c>
      <c r="Q279" s="4">
        <v>1</v>
      </c>
      <c r="R279" s="7" t="str">
        <f>"&lt;color=#"&amp;VLOOKUP(E279,[1]品质主表!$B$6:$C$13,2,FALSE)&amp;"&gt;"&amp;C279&amp;"&lt;/color&gt;"</f>
        <v>&lt;color=#ff4d4d&gt;焰武神隐（女）&lt;/color&gt;</v>
      </c>
    </row>
    <row r="280" spans="2:18" x14ac:dyDescent="0.3">
      <c r="B280" s="1">
        <v>21301</v>
      </c>
      <c r="C280" s="16" t="s">
        <v>385</v>
      </c>
      <c r="D280" s="16"/>
      <c r="E280" s="1">
        <v>7</v>
      </c>
      <c r="F280" s="4">
        <v>8</v>
      </c>
      <c r="G280" s="10">
        <v>5</v>
      </c>
      <c r="H280" s="10">
        <v>1</v>
      </c>
      <c r="J280" s="13" t="s">
        <v>370</v>
      </c>
      <c r="L280" s="4">
        <f t="shared" si="25"/>
        <v>21301</v>
      </c>
      <c r="M280" s="4">
        <v>0</v>
      </c>
      <c r="N280" s="4">
        <f t="shared" si="17"/>
        <v>21301</v>
      </c>
      <c r="O280" s="4">
        <v>1</v>
      </c>
      <c r="P280" s="4">
        <v>0</v>
      </c>
      <c r="Q280" s="4">
        <v>1</v>
      </c>
      <c r="R280" s="7" t="str">
        <f>"&lt;color=#"&amp;VLOOKUP(E280,[1]品质主表!$B$6:$C$13,2,FALSE)&amp;"&gt;"&amp;C280&amp;"&lt;/color&gt;"</f>
        <v>&lt;color=#ff779d&gt;邪影狂澜（女）&lt;/color&gt;</v>
      </c>
    </row>
    <row r="281" spans="2:18" x14ac:dyDescent="0.3">
      <c r="B281" s="1">
        <v>21302</v>
      </c>
      <c r="C281" s="16" t="s">
        <v>550</v>
      </c>
      <c r="E281" s="1">
        <v>6</v>
      </c>
      <c r="F281" s="4">
        <v>8</v>
      </c>
      <c r="G281" s="10">
        <v>5</v>
      </c>
      <c r="H281" s="10">
        <v>1</v>
      </c>
      <c r="J281" s="13" t="s">
        <v>371</v>
      </c>
      <c r="L281" s="4">
        <f t="shared" si="25"/>
        <v>21302</v>
      </c>
      <c r="M281" s="4">
        <v>0</v>
      </c>
      <c r="N281" s="4">
        <f t="shared" si="17"/>
        <v>21302</v>
      </c>
      <c r="O281" s="4">
        <v>1</v>
      </c>
      <c r="P281" s="4">
        <v>0</v>
      </c>
      <c r="Q281" s="4">
        <v>1</v>
      </c>
      <c r="R281" s="7" t="str">
        <f>"&lt;color=#"&amp;VLOOKUP(E281,[1]品质主表!$B$6:$C$13,2,FALSE)&amp;"&gt;"&amp;C281&amp;"&lt;/color&gt;"</f>
        <v>&lt;color=#ff4d4d&gt;灵台明镜（女）&lt;/color&gt;</v>
      </c>
    </row>
    <row r="282" spans="2:18" x14ac:dyDescent="0.3">
      <c r="B282" s="1">
        <v>21303</v>
      </c>
      <c r="C282" s="16" t="s">
        <v>385</v>
      </c>
      <c r="E282" s="1">
        <v>6</v>
      </c>
      <c r="F282" s="4">
        <v>8</v>
      </c>
      <c r="G282" s="10">
        <v>5</v>
      </c>
      <c r="H282" s="10">
        <v>1</v>
      </c>
      <c r="J282" s="13" t="s">
        <v>372</v>
      </c>
      <c r="L282" s="4">
        <f t="shared" si="25"/>
        <v>21303</v>
      </c>
      <c r="M282" s="4">
        <v>0</v>
      </c>
      <c r="N282" s="4">
        <f t="shared" si="17"/>
        <v>21303</v>
      </c>
      <c r="O282" s="4">
        <v>1</v>
      </c>
      <c r="P282" s="4">
        <v>0</v>
      </c>
      <c r="Q282" s="4">
        <v>1</v>
      </c>
      <c r="R282" s="7" t="str">
        <f>"&lt;color=#"&amp;VLOOKUP(E282,[1]品质主表!$B$6:$C$13,2,FALSE)&amp;"&gt;"&amp;C282&amp;"&lt;/color&gt;"</f>
        <v>&lt;color=#ff4d4d&gt;邪影狂澜（女）&lt;/color&gt;</v>
      </c>
    </row>
    <row r="283" spans="2:18" x14ac:dyDescent="0.3">
      <c r="B283" s="1">
        <v>21401</v>
      </c>
      <c r="C283" s="16" t="s">
        <v>383</v>
      </c>
      <c r="E283" s="1">
        <v>7</v>
      </c>
      <c r="F283" s="4">
        <v>8</v>
      </c>
      <c r="G283" s="10">
        <v>5</v>
      </c>
      <c r="H283" s="10">
        <v>1</v>
      </c>
      <c r="J283" s="13" t="s">
        <v>543</v>
      </c>
      <c r="L283" s="4">
        <f t="shared" si="25"/>
        <v>21401</v>
      </c>
      <c r="M283" s="4">
        <v>0</v>
      </c>
      <c r="N283" s="4">
        <f t="shared" ref="N283:N284" si="29">L283</f>
        <v>21401</v>
      </c>
      <c r="O283" s="4">
        <v>1</v>
      </c>
      <c r="P283" s="4">
        <v>0</v>
      </c>
      <c r="Q283" s="4">
        <v>1</v>
      </c>
      <c r="R283" s="7" t="str">
        <f>"&lt;color=#"&amp;VLOOKUP(E283,[1]品质主表!$B$6:$C$13,2,FALSE)&amp;"&gt;"&amp;C283&amp;"&lt;/color&gt;"</f>
        <v>&lt;color=#ff779d&gt;霸天狂仙（女）&lt;/color&gt;</v>
      </c>
    </row>
    <row r="284" spans="2:18" x14ac:dyDescent="0.3">
      <c r="B284" s="1">
        <v>21402</v>
      </c>
      <c r="C284" s="16" t="s">
        <v>384</v>
      </c>
      <c r="E284" s="1">
        <v>6</v>
      </c>
      <c r="F284" s="4">
        <v>8</v>
      </c>
      <c r="G284" s="10">
        <v>5</v>
      </c>
      <c r="H284" s="10">
        <v>1</v>
      </c>
      <c r="J284" s="13" t="s">
        <v>544</v>
      </c>
      <c r="L284" s="4">
        <f t="shared" si="25"/>
        <v>21402</v>
      </c>
      <c r="M284" s="4">
        <v>0</v>
      </c>
      <c r="N284" s="4">
        <f t="shared" si="29"/>
        <v>21402</v>
      </c>
      <c r="O284" s="4">
        <v>1</v>
      </c>
      <c r="P284" s="4">
        <v>0</v>
      </c>
      <c r="Q284" s="4">
        <v>1</v>
      </c>
      <c r="R284" s="7" t="str">
        <f>"&lt;color=#"&amp;VLOOKUP(E284,[1]品质主表!$B$6:$C$13,2,FALSE)&amp;"&gt;"&amp;C284&amp;"&lt;/color&gt;"</f>
        <v>&lt;color=#ff4d4d&gt;魔焰焚身（女）&lt;/color&gt;</v>
      </c>
    </row>
    <row r="285" spans="2:18" x14ac:dyDescent="0.3">
      <c r="B285" s="1">
        <v>21901</v>
      </c>
      <c r="C285" s="16" t="s">
        <v>800</v>
      </c>
      <c r="E285" s="1">
        <v>7</v>
      </c>
      <c r="F285" s="4">
        <v>8</v>
      </c>
      <c r="G285" s="10">
        <v>5</v>
      </c>
      <c r="H285" s="10">
        <v>1</v>
      </c>
      <c r="J285" s="13" t="s">
        <v>805</v>
      </c>
      <c r="L285" s="4">
        <f t="shared" si="25"/>
        <v>21901</v>
      </c>
      <c r="M285" s="4">
        <v>0</v>
      </c>
      <c r="N285" s="4">
        <f t="shared" ref="N285" si="30">L285</f>
        <v>21901</v>
      </c>
      <c r="O285" s="4">
        <v>1</v>
      </c>
      <c r="P285" s="4">
        <v>0</v>
      </c>
      <c r="Q285" s="4">
        <v>1</v>
      </c>
      <c r="R285" s="7" t="str">
        <f>"&lt;color=#"&amp;VLOOKUP(E285,[1]品质主表!$B$6:$C$13,2,FALSE)&amp;"&gt;"&amp;C285&amp;"&lt;/color&gt;"</f>
        <v>&lt;color=#ff779d&gt;凤舞九天（女）&lt;/color&gt;</v>
      </c>
    </row>
    <row r="286" spans="2:18" x14ac:dyDescent="0.3">
      <c r="B286" s="1">
        <v>21902</v>
      </c>
      <c r="C286" s="16" t="s">
        <v>1003</v>
      </c>
      <c r="E286" s="1">
        <v>7</v>
      </c>
      <c r="F286" s="4">
        <v>8</v>
      </c>
      <c r="G286" s="10">
        <v>5</v>
      </c>
      <c r="H286" s="10">
        <v>1</v>
      </c>
      <c r="J286" s="13" t="s">
        <v>1002</v>
      </c>
      <c r="L286" s="4">
        <f t="shared" ref="L286" si="31">B286</f>
        <v>21902</v>
      </c>
      <c r="M286" s="4">
        <v>0</v>
      </c>
      <c r="N286" s="4">
        <f t="shared" ref="N286" si="32">L286</f>
        <v>21902</v>
      </c>
      <c r="O286" s="4">
        <v>1</v>
      </c>
      <c r="P286" s="4">
        <v>0</v>
      </c>
      <c r="Q286" s="4">
        <v>1</v>
      </c>
      <c r="R286" s="7" t="str">
        <f>"&lt;color=#"&amp;VLOOKUP(E286,[1]品质主表!$B$6:$C$13,2,FALSE)&amp;"&gt;"&amp;C286&amp;"&lt;/color&gt;"</f>
        <v>&lt;color=#ff779d&gt;帝皇威临（女）&lt;/color&gt;</v>
      </c>
    </row>
    <row r="287" spans="2:18" x14ac:dyDescent="0.3">
      <c r="B287" s="1">
        <v>22001</v>
      </c>
      <c r="C287" s="16" t="s">
        <v>513</v>
      </c>
      <c r="E287" s="1">
        <v>7</v>
      </c>
      <c r="F287" s="4">
        <v>8</v>
      </c>
      <c r="G287" s="10">
        <v>5</v>
      </c>
      <c r="H287" s="10">
        <v>1</v>
      </c>
      <c r="J287" s="13" t="s">
        <v>518</v>
      </c>
      <c r="L287" s="4">
        <f t="shared" si="25"/>
        <v>22001</v>
      </c>
      <c r="M287" s="4">
        <v>0</v>
      </c>
      <c r="N287" s="4">
        <f t="shared" ref="N287" si="33">L287</f>
        <v>22001</v>
      </c>
      <c r="O287" s="4">
        <v>1</v>
      </c>
      <c r="P287" s="4">
        <v>0</v>
      </c>
      <c r="Q287" s="4">
        <v>1</v>
      </c>
      <c r="R287" s="7" t="str">
        <f>"&lt;color=#"&amp;VLOOKUP(E287,[1]品质主表!$B$6:$C$13,2,FALSE)&amp;"&gt;"&amp;C287&amp;"&lt;/color&gt;"</f>
        <v>&lt;color=#ff779d&gt;浩然仙宗（1天）&lt;/color&gt;</v>
      </c>
    </row>
    <row r="288" spans="2:18" x14ac:dyDescent="0.3">
      <c r="B288" s="1">
        <v>22002</v>
      </c>
      <c r="C288" s="16" t="s">
        <v>515</v>
      </c>
      <c r="E288" s="1">
        <v>7</v>
      </c>
      <c r="F288" s="4">
        <v>8</v>
      </c>
      <c r="G288" s="10">
        <v>5</v>
      </c>
      <c r="H288" s="10">
        <v>1</v>
      </c>
      <c r="J288" s="13" t="s">
        <v>519</v>
      </c>
      <c r="L288" s="4">
        <f t="shared" si="25"/>
        <v>22002</v>
      </c>
      <c r="M288" s="4">
        <v>0</v>
      </c>
      <c r="N288" s="4">
        <f>N287</f>
        <v>22001</v>
      </c>
      <c r="O288" s="4">
        <v>1</v>
      </c>
      <c r="P288" s="4">
        <v>0</v>
      </c>
      <c r="Q288" s="4">
        <v>1</v>
      </c>
      <c r="R288" s="7" t="str">
        <f>"&lt;color=#"&amp;VLOOKUP(E288,[1]品质主表!$B$6:$C$13,2,FALSE)&amp;"&gt;"&amp;C288&amp;"&lt;/color&gt;"</f>
        <v>&lt;color=#ff779d&gt;浩然仙宗（3天）&lt;/color&gt;</v>
      </c>
    </row>
    <row r="289" spans="2:18" x14ac:dyDescent="0.3">
      <c r="B289" s="1">
        <v>22003</v>
      </c>
      <c r="C289" s="16" t="s">
        <v>517</v>
      </c>
      <c r="E289" s="1">
        <v>7</v>
      </c>
      <c r="F289" s="4">
        <v>8</v>
      </c>
      <c r="G289" s="10">
        <v>5</v>
      </c>
      <c r="H289" s="10">
        <v>1</v>
      </c>
      <c r="J289" s="13" t="s">
        <v>520</v>
      </c>
      <c r="L289" s="4">
        <f t="shared" si="25"/>
        <v>22003</v>
      </c>
      <c r="M289" s="4">
        <v>0</v>
      </c>
      <c r="N289" s="4">
        <f>N288</f>
        <v>22001</v>
      </c>
      <c r="O289" s="4">
        <v>1</v>
      </c>
      <c r="P289" s="4">
        <v>0</v>
      </c>
      <c r="Q289" s="4">
        <v>1</v>
      </c>
      <c r="R289" s="7" t="str">
        <f>"&lt;color=#"&amp;VLOOKUP(E289,[1]品质主表!$B$6:$C$13,2,FALSE)&amp;"&gt;"&amp;C289&amp;"&lt;/color&gt;"</f>
        <v>&lt;color=#ff779d&gt;浩然仙宗（5天）&lt;/color&gt;</v>
      </c>
    </row>
    <row r="290" spans="2:18" x14ac:dyDescent="0.3">
      <c r="B290" s="1">
        <v>22004</v>
      </c>
      <c r="C290" s="16" t="s">
        <v>790</v>
      </c>
      <c r="E290" s="1">
        <v>7</v>
      </c>
      <c r="F290" s="4">
        <v>8</v>
      </c>
      <c r="G290" s="10">
        <v>5</v>
      </c>
      <c r="H290" s="10">
        <v>1</v>
      </c>
      <c r="J290" s="13" t="s">
        <v>774</v>
      </c>
      <c r="L290" s="4">
        <f t="shared" si="25"/>
        <v>22004</v>
      </c>
      <c r="M290" s="4">
        <v>0</v>
      </c>
      <c r="N290" s="4">
        <f t="shared" ref="N290" si="34">L290</f>
        <v>22004</v>
      </c>
      <c r="O290" s="4">
        <v>1</v>
      </c>
      <c r="P290" s="4">
        <v>0</v>
      </c>
      <c r="Q290" s="4">
        <v>1</v>
      </c>
      <c r="R290" s="7" t="str">
        <f>"&lt;color=#"&amp;VLOOKUP(E290,[1]品质主表!$B$6:$C$13,2,FALSE)&amp;"&gt;"&amp;C290&amp;"&lt;/color&gt;"</f>
        <v>&lt;color=#ff779d&gt;火凰萌羽（1天）&lt;/color&gt;</v>
      </c>
    </row>
    <row r="291" spans="2:18" s="26" customFormat="1" x14ac:dyDescent="0.3">
      <c r="B291" s="24">
        <v>28001</v>
      </c>
      <c r="C291" s="25" t="s">
        <v>751</v>
      </c>
      <c r="E291" s="24">
        <v>5</v>
      </c>
      <c r="F291" s="27">
        <v>17</v>
      </c>
      <c r="G291" s="10">
        <v>5</v>
      </c>
      <c r="H291" s="28">
        <v>1</v>
      </c>
      <c r="I291" s="29"/>
      <c r="J291" s="14" t="s">
        <v>749</v>
      </c>
      <c r="K291" s="29"/>
      <c r="L291" s="27">
        <f t="shared" si="25"/>
        <v>28001</v>
      </c>
      <c r="M291" s="27">
        <v>0</v>
      </c>
      <c r="N291" s="27">
        <v>28001</v>
      </c>
      <c r="O291" s="27">
        <v>1</v>
      </c>
      <c r="P291" s="27">
        <v>0</v>
      </c>
      <c r="Q291" s="27">
        <v>1</v>
      </c>
      <c r="R291" s="7" t="str">
        <f>"&lt;color=#"&amp;VLOOKUP(E291,[1]品质主表!$B$6:$C$13,2,FALSE)&amp;"&gt;"&amp;C291&amp;"&lt;/color&gt;"</f>
        <v>&lt;color=#ff8000&gt;凡人王者&lt;/color&gt;</v>
      </c>
    </row>
    <row r="292" spans="2:18" s="26" customFormat="1" x14ac:dyDescent="0.3">
      <c r="B292" s="24">
        <v>28002</v>
      </c>
      <c r="C292" s="25" t="s">
        <v>750</v>
      </c>
      <c r="E292" s="24">
        <v>6</v>
      </c>
      <c r="F292" s="27">
        <v>17</v>
      </c>
      <c r="G292" s="10">
        <v>5</v>
      </c>
      <c r="H292" s="28">
        <v>1</v>
      </c>
      <c r="I292" s="29"/>
      <c r="J292" s="14" t="s">
        <v>752</v>
      </c>
      <c r="K292" s="29"/>
      <c r="L292" s="27">
        <f t="shared" si="25"/>
        <v>28002</v>
      </c>
      <c r="M292" s="27">
        <v>0</v>
      </c>
      <c r="N292" s="27">
        <v>28002</v>
      </c>
      <c r="O292" s="27">
        <v>1</v>
      </c>
      <c r="P292" s="27">
        <v>0</v>
      </c>
      <c r="Q292" s="27">
        <v>1</v>
      </c>
      <c r="R292" s="7" t="str">
        <f>"&lt;color=#"&amp;VLOOKUP(E292,[1]品质主表!$B$6:$C$13,2,FALSE)&amp;"&gt;"&amp;C292&amp;"&lt;/color&gt;"</f>
        <v>&lt;color=#ff4d4d&gt;仙人霸主&lt;/color&gt;</v>
      </c>
    </row>
    <row r="293" spans="2:18" s="26" customFormat="1" x14ac:dyDescent="0.3">
      <c r="B293" s="24">
        <v>28003</v>
      </c>
      <c r="C293" s="25" t="s">
        <v>785</v>
      </c>
      <c r="E293" s="24">
        <v>7</v>
      </c>
      <c r="F293" s="27">
        <v>17</v>
      </c>
      <c r="G293" s="10">
        <v>5</v>
      </c>
      <c r="H293" s="28">
        <v>1</v>
      </c>
      <c r="I293" s="29"/>
      <c r="J293" s="14" t="s">
        <v>753</v>
      </c>
      <c r="K293" s="29"/>
      <c r="L293" s="27">
        <f t="shared" si="25"/>
        <v>28003</v>
      </c>
      <c r="M293" s="27">
        <v>0</v>
      </c>
      <c r="N293" s="27">
        <v>28003</v>
      </c>
      <c r="O293" s="27">
        <v>1</v>
      </c>
      <c r="P293" s="27">
        <v>0</v>
      </c>
      <c r="Q293" s="27">
        <v>1</v>
      </c>
      <c r="R293" s="7" t="str">
        <f>"&lt;color=#"&amp;VLOOKUP(E293,[1]品质主表!$B$6:$C$13,2,FALSE)&amp;"&gt;"&amp;C293&amp;"&lt;/color&gt;"</f>
        <v>&lt;color=#ff779d&gt;唯我独尊&lt;/color&gt;</v>
      </c>
    </row>
    <row r="294" spans="2:18" x14ac:dyDescent="0.3">
      <c r="B294" s="1">
        <v>30001</v>
      </c>
      <c r="C294" s="7" t="s">
        <v>270</v>
      </c>
      <c r="E294" s="1">
        <v>1</v>
      </c>
      <c r="F294" s="4">
        <v>9</v>
      </c>
      <c r="G294" s="10">
        <v>5</v>
      </c>
      <c r="H294" s="10">
        <v>1</v>
      </c>
      <c r="J294" s="15" t="s">
        <v>271</v>
      </c>
      <c r="L294" s="4">
        <f t="shared" si="25"/>
        <v>30001</v>
      </c>
      <c r="M294" s="4">
        <v>0</v>
      </c>
      <c r="N294" s="4">
        <f t="shared" si="17"/>
        <v>30001</v>
      </c>
      <c r="O294" s="4">
        <v>1</v>
      </c>
      <c r="P294" s="4">
        <v>0</v>
      </c>
      <c r="Q294" s="4">
        <v>0</v>
      </c>
      <c r="R294" s="7" t="str">
        <f>"&lt;color=#"&amp;VLOOKUP(E294,[1]品质主表!$B$6:$C$13,2,FALSE)&amp;"&gt;"&amp;C294&amp;"&lt;/color&gt;"</f>
        <v>&lt;color=#18e71a&gt;寒冰剑&lt;/color&gt;</v>
      </c>
    </row>
    <row r="295" spans="2:18" x14ac:dyDescent="0.3">
      <c r="B295" s="1">
        <v>30002</v>
      </c>
      <c r="C295" s="7" t="s">
        <v>272</v>
      </c>
      <c r="E295" s="1">
        <v>1</v>
      </c>
      <c r="F295" s="4">
        <v>9</v>
      </c>
      <c r="G295" s="10">
        <v>5</v>
      </c>
      <c r="H295" s="10">
        <v>1</v>
      </c>
      <c r="J295" s="15" t="s">
        <v>273</v>
      </c>
      <c r="L295" s="4">
        <f t="shared" si="25"/>
        <v>30002</v>
      </c>
      <c r="M295" s="4">
        <v>0</v>
      </c>
      <c r="N295" s="4">
        <f t="shared" si="17"/>
        <v>30002</v>
      </c>
      <c r="O295" s="4">
        <v>1</v>
      </c>
      <c r="P295" s="4">
        <v>0</v>
      </c>
      <c r="Q295" s="4">
        <v>0</v>
      </c>
      <c r="R295" s="7" t="str">
        <f>"&lt;color=#"&amp;VLOOKUP(E295,[1]品质主表!$B$6:$C$13,2,FALSE)&amp;"&gt;"&amp;C295&amp;"&lt;/color&gt;"</f>
        <v>&lt;color=#18e71a&gt;雷霆锤&lt;/color&gt;</v>
      </c>
    </row>
    <row r="296" spans="2:18" x14ac:dyDescent="0.3">
      <c r="B296" s="1">
        <v>30003</v>
      </c>
      <c r="C296" s="7" t="s">
        <v>274</v>
      </c>
      <c r="E296" s="1">
        <v>2</v>
      </c>
      <c r="F296" s="4">
        <v>9</v>
      </c>
      <c r="G296" s="10">
        <v>5</v>
      </c>
      <c r="H296" s="10">
        <v>1</v>
      </c>
      <c r="J296" s="15" t="s">
        <v>275</v>
      </c>
      <c r="L296" s="4">
        <f t="shared" si="25"/>
        <v>30003</v>
      </c>
      <c r="M296" s="4">
        <v>0</v>
      </c>
      <c r="N296" s="4">
        <f t="shared" si="17"/>
        <v>30003</v>
      </c>
      <c r="O296" s="4">
        <v>1</v>
      </c>
      <c r="P296" s="4">
        <v>0</v>
      </c>
      <c r="Q296" s="4">
        <v>0</v>
      </c>
      <c r="R296" s="7" t="str">
        <f>"&lt;color=#"&amp;VLOOKUP(E296,[1]品质主表!$B$6:$C$13,2,FALSE)&amp;"&gt;"&amp;C296&amp;"&lt;/color&gt;"</f>
        <v>&lt;color=#40f3ff&gt;紫电刀&lt;/color&gt;</v>
      </c>
    </row>
    <row r="297" spans="2:18" x14ac:dyDescent="0.3">
      <c r="B297" s="1">
        <v>30004</v>
      </c>
      <c r="C297" s="21" t="s">
        <v>391</v>
      </c>
      <c r="E297" s="1">
        <v>3</v>
      </c>
      <c r="F297" s="4">
        <v>9</v>
      </c>
      <c r="G297" s="10">
        <v>5</v>
      </c>
      <c r="H297" s="10">
        <v>1</v>
      </c>
      <c r="J297" s="15" t="s">
        <v>276</v>
      </c>
      <c r="L297" s="4">
        <f t="shared" si="25"/>
        <v>30004</v>
      </c>
      <c r="M297" s="4">
        <v>0</v>
      </c>
      <c r="N297" s="4">
        <f t="shared" si="17"/>
        <v>30004</v>
      </c>
      <c r="O297" s="4">
        <v>1</v>
      </c>
      <c r="P297" s="4">
        <v>0</v>
      </c>
      <c r="Q297" s="4">
        <v>0</v>
      </c>
      <c r="R297" s="7" t="str">
        <f>"&lt;color=#"&amp;VLOOKUP(E297,[1]品质主表!$B$6:$C$13,2,FALSE)&amp;"&gt;"&amp;C297&amp;"&lt;/color&gt;"</f>
        <v>&lt;color=#f044dc&gt;禅心拂&lt;/color&gt;</v>
      </c>
    </row>
    <row r="298" spans="2:18" x14ac:dyDescent="0.3">
      <c r="B298" s="1">
        <v>30005</v>
      </c>
      <c r="C298" s="7" t="s">
        <v>277</v>
      </c>
      <c r="E298" s="1">
        <v>4</v>
      </c>
      <c r="F298" s="4">
        <v>9</v>
      </c>
      <c r="G298" s="10">
        <v>5</v>
      </c>
      <c r="H298" s="10">
        <v>1</v>
      </c>
      <c r="J298" s="15" t="s">
        <v>278</v>
      </c>
      <c r="L298" s="4">
        <f t="shared" si="25"/>
        <v>30005</v>
      </c>
      <c r="M298" s="4">
        <v>0</v>
      </c>
      <c r="N298" s="4">
        <f t="shared" si="17"/>
        <v>30005</v>
      </c>
      <c r="O298" s="4">
        <v>1</v>
      </c>
      <c r="P298" s="4">
        <v>0</v>
      </c>
      <c r="Q298" s="4">
        <v>0</v>
      </c>
      <c r="R298" s="7" t="str">
        <f>"&lt;color=#"&amp;VLOOKUP(E298,[1]品质主表!$B$6:$C$13,2,FALSE)&amp;"&gt;"&amp;C298&amp;"&lt;/color&gt;"</f>
        <v>&lt;color=#edde00&gt;烈焰枪&lt;/color&gt;</v>
      </c>
    </row>
    <row r="299" spans="2:18" x14ac:dyDescent="0.3">
      <c r="B299" s="1">
        <v>30006</v>
      </c>
      <c r="C299" s="21" t="s">
        <v>392</v>
      </c>
      <c r="E299" s="1">
        <v>5</v>
      </c>
      <c r="F299" s="4">
        <v>9</v>
      </c>
      <c r="G299" s="10">
        <v>5</v>
      </c>
      <c r="H299" s="10">
        <v>1</v>
      </c>
      <c r="J299" s="15" t="s">
        <v>279</v>
      </c>
      <c r="L299" s="4">
        <f t="shared" si="25"/>
        <v>30006</v>
      </c>
      <c r="M299" s="4">
        <v>0</v>
      </c>
      <c r="N299" s="4">
        <f t="shared" si="17"/>
        <v>30006</v>
      </c>
      <c r="O299" s="4">
        <v>1</v>
      </c>
      <c r="P299" s="4">
        <v>0</v>
      </c>
      <c r="Q299" s="4">
        <v>0</v>
      </c>
      <c r="R299" s="7" t="str">
        <f>"&lt;color=#"&amp;VLOOKUP(E299,[1]品质主表!$B$6:$C$13,2,FALSE)&amp;"&gt;"&amp;C299&amp;"&lt;/color&gt;"</f>
        <v>&lt;color=#ff8000&gt;苍龙爪&lt;/color&gt;</v>
      </c>
    </row>
    <row r="300" spans="2:18" x14ac:dyDescent="0.3">
      <c r="B300" s="1">
        <v>30007</v>
      </c>
      <c r="C300" s="21" t="s">
        <v>394</v>
      </c>
      <c r="E300" s="1">
        <v>6</v>
      </c>
      <c r="F300" s="4">
        <v>9</v>
      </c>
      <c r="G300" s="10">
        <v>5</v>
      </c>
      <c r="H300" s="10">
        <v>1</v>
      </c>
      <c r="J300" s="15" t="s">
        <v>280</v>
      </c>
      <c r="L300" s="4">
        <f t="shared" si="25"/>
        <v>30007</v>
      </c>
      <c r="M300" s="4">
        <v>0</v>
      </c>
      <c r="N300" s="4">
        <f t="shared" si="17"/>
        <v>30007</v>
      </c>
      <c r="O300" s="4">
        <v>1</v>
      </c>
      <c r="P300" s="4">
        <v>0</v>
      </c>
      <c r="Q300" s="4">
        <v>0</v>
      </c>
      <c r="R300" s="7" t="str">
        <f>"&lt;color=#"&amp;VLOOKUP(E300,[1]品质主表!$B$6:$C$13,2,FALSE)&amp;"&gt;"&amp;C300&amp;"&lt;/color&gt;"</f>
        <v>&lt;color=#ff4d4d&gt;云篆笔&lt;/color&gt;</v>
      </c>
    </row>
    <row r="301" spans="2:18" x14ac:dyDescent="0.3">
      <c r="B301" s="1">
        <v>30008</v>
      </c>
      <c r="C301" s="20" t="s">
        <v>393</v>
      </c>
      <c r="E301" s="1">
        <v>7</v>
      </c>
      <c r="F301" s="4">
        <v>9</v>
      </c>
      <c r="G301" s="10">
        <v>5</v>
      </c>
      <c r="H301" s="10">
        <v>1</v>
      </c>
      <c r="J301" s="15" t="s">
        <v>281</v>
      </c>
      <c r="L301" s="4">
        <f t="shared" si="25"/>
        <v>30008</v>
      </c>
      <c r="M301" s="4">
        <v>0</v>
      </c>
      <c r="N301" s="4">
        <f t="shared" si="17"/>
        <v>30008</v>
      </c>
      <c r="O301" s="4">
        <v>1</v>
      </c>
      <c r="P301" s="4">
        <v>0</v>
      </c>
      <c r="Q301" s="4">
        <v>0</v>
      </c>
      <c r="R301" s="7" t="str">
        <f>"&lt;color=#"&amp;VLOOKUP(E301,[1]品质主表!$B$6:$C$13,2,FALSE)&amp;"&gt;"&amp;C301&amp;"&lt;/color&gt;"</f>
        <v>&lt;color=#ff779d&gt;流星斧&lt;/color&gt;</v>
      </c>
    </row>
    <row r="302" spans="2:18" x14ac:dyDescent="0.3">
      <c r="B302" s="1">
        <v>30009</v>
      </c>
      <c r="C302" s="20" t="s">
        <v>390</v>
      </c>
      <c r="E302" s="1">
        <v>7</v>
      </c>
      <c r="F302" s="4">
        <v>9</v>
      </c>
      <c r="G302" s="10">
        <v>5</v>
      </c>
      <c r="H302" s="10">
        <v>1</v>
      </c>
      <c r="J302" s="15" t="s">
        <v>282</v>
      </c>
      <c r="L302" s="4">
        <f t="shared" si="25"/>
        <v>30009</v>
      </c>
      <c r="M302" s="4">
        <v>0</v>
      </c>
      <c r="N302" s="4">
        <f t="shared" si="17"/>
        <v>30009</v>
      </c>
      <c r="O302" s="4">
        <v>1</v>
      </c>
      <c r="P302" s="4">
        <v>0</v>
      </c>
      <c r="Q302" s="4">
        <v>0</v>
      </c>
      <c r="R302" s="7" t="str">
        <f>"&lt;color=#"&amp;VLOOKUP(E302,[1]品质主表!$B$6:$C$13,2,FALSE)&amp;"&gt;"&amp;C302&amp;"&lt;/color&gt;"</f>
        <v>&lt;color=#ff779d&gt;挞神鞭&lt;/color&gt;</v>
      </c>
    </row>
    <row r="303" spans="2:18" x14ac:dyDescent="0.3">
      <c r="B303" s="1">
        <v>30010</v>
      </c>
      <c r="C303" s="7" t="s">
        <v>283</v>
      </c>
      <c r="E303" s="1">
        <v>7</v>
      </c>
      <c r="F303" s="4">
        <v>9</v>
      </c>
      <c r="G303" s="10">
        <v>5</v>
      </c>
      <c r="H303" s="10">
        <v>1</v>
      </c>
      <c r="J303" s="15" t="s">
        <v>284</v>
      </c>
      <c r="L303" s="4">
        <f t="shared" ref="L303:L338" si="35">B303</f>
        <v>30010</v>
      </c>
      <c r="M303" s="4">
        <v>0</v>
      </c>
      <c r="N303" s="4">
        <f t="shared" si="17"/>
        <v>30010</v>
      </c>
      <c r="O303" s="4">
        <v>1</v>
      </c>
      <c r="P303" s="4">
        <v>0</v>
      </c>
      <c r="Q303" s="4">
        <v>0</v>
      </c>
      <c r="R303" s="7" t="str">
        <f>"&lt;color=#"&amp;VLOOKUP(E303,[1]品质主表!$B$6:$C$13,2,FALSE)&amp;"&gt;"&amp;C303&amp;"&lt;/color&gt;"</f>
        <v>&lt;color=#ff779d&gt;乾坤扇&lt;/color&gt;</v>
      </c>
    </row>
    <row r="304" spans="2:18" x14ac:dyDescent="0.3">
      <c r="B304" s="1">
        <v>30011</v>
      </c>
      <c r="C304" s="21" t="s">
        <v>395</v>
      </c>
      <c r="E304" s="1">
        <v>7</v>
      </c>
      <c r="F304" s="4">
        <v>9</v>
      </c>
      <c r="G304" s="10">
        <v>5</v>
      </c>
      <c r="H304" s="10">
        <v>1</v>
      </c>
      <c r="J304" s="15" t="s">
        <v>285</v>
      </c>
      <c r="L304" s="4">
        <f t="shared" si="35"/>
        <v>30011</v>
      </c>
      <c r="M304" s="4">
        <v>0</v>
      </c>
      <c r="N304" s="4">
        <f t="shared" si="17"/>
        <v>30011</v>
      </c>
      <c r="O304" s="4">
        <v>1</v>
      </c>
      <c r="P304" s="4">
        <v>0</v>
      </c>
      <c r="Q304" s="4">
        <v>0</v>
      </c>
      <c r="R304" s="7" t="str">
        <f>"&lt;color=#"&amp;VLOOKUP(E304,[1]品质主表!$B$6:$C$13,2,FALSE)&amp;"&gt;"&amp;C304&amp;"&lt;/color&gt;"</f>
        <v>&lt;color=#ff779d&gt;赤焰剑&lt;/color&gt;</v>
      </c>
    </row>
    <row r="305" spans="2:18" x14ac:dyDescent="0.3">
      <c r="B305" s="1">
        <v>30012</v>
      </c>
      <c r="C305" s="20" t="s">
        <v>396</v>
      </c>
      <c r="E305" s="1">
        <v>7</v>
      </c>
      <c r="F305" s="4">
        <v>9</v>
      </c>
      <c r="G305" s="10">
        <v>5</v>
      </c>
      <c r="H305" s="10">
        <v>1</v>
      </c>
      <c r="J305" s="15" t="s">
        <v>286</v>
      </c>
      <c r="L305" s="4">
        <f t="shared" si="35"/>
        <v>30012</v>
      </c>
      <c r="M305" s="4">
        <v>0</v>
      </c>
      <c r="N305" s="4">
        <f t="shared" si="17"/>
        <v>30012</v>
      </c>
      <c r="O305" s="4">
        <v>1</v>
      </c>
      <c r="P305" s="4">
        <v>0</v>
      </c>
      <c r="Q305" s="4">
        <v>0</v>
      </c>
      <c r="R305" s="7" t="str">
        <f>"&lt;color=#"&amp;VLOOKUP(E305,[1]品质主表!$B$6:$C$13,2,FALSE)&amp;"&gt;"&amp;C305&amp;"&lt;/color&gt;"</f>
        <v>&lt;color=#ff779d&gt;轩辕剑&lt;/color&gt;</v>
      </c>
    </row>
    <row r="306" spans="2:18" x14ac:dyDescent="0.3">
      <c r="B306" s="1">
        <v>31001</v>
      </c>
      <c r="C306" s="7" t="s">
        <v>287</v>
      </c>
      <c r="E306" s="1">
        <v>1</v>
      </c>
      <c r="F306" s="4">
        <v>9</v>
      </c>
      <c r="G306" s="10">
        <v>5</v>
      </c>
      <c r="H306" s="10">
        <v>1</v>
      </c>
      <c r="J306" s="15" t="s">
        <v>288</v>
      </c>
      <c r="L306" s="4">
        <f t="shared" si="35"/>
        <v>31001</v>
      </c>
      <c r="M306" s="4">
        <v>0</v>
      </c>
      <c r="N306" s="4">
        <f t="shared" si="17"/>
        <v>31001</v>
      </c>
      <c r="O306" s="4">
        <v>1</v>
      </c>
      <c r="P306" s="4">
        <v>0</v>
      </c>
      <c r="Q306" s="4">
        <v>0</v>
      </c>
      <c r="R306" s="7" t="str">
        <f>"&lt;color=#"&amp;VLOOKUP(E306,[1]品质主表!$B$6:$C$13,2,FALSE)&amp;"&gt;"&amp;C306&amp;"&lt;/color&gt;"</f>
        <v>&lt;color=#18e71a&gt;风行靴&lt;/color&gt;</v>
      </c>
    </row>
    <row r="307" spans="2:18" x14ac:dyDescent="0.3">
      <c r="B307" s="1">
        <v>31002</v>
      </c>
      <c r="C307" s="7" t="s">
        <v>289</v>
      </c>
      <c r="E307" s="1">
        <v>1</v>
      </c>
      <c r="F307" s="4">
        <v>9</v>
      </c>
      <c r="G307" s="10">
        <v>5</v>
      </c>
      <c r="H307" s="10">
        <v>1</v>
      </c>
      <c r="J307" s="15" t="s">
        <v>290</v>
      </c>
      <c r="L307" s="4">
        <f t="shared" si="35"/>
        <v>31002</v>
      </c>
      <c r="M307" s="4">
        <v>0</v>
      </c>
      <c r="N307" s="4">
        <f t="shared" si="17"/>
        <v>31002</v>
      </c>
      <c r="O307" s="4">
        <v>1</v>
      </c>
      <c r="P307" s="4">
        <v>0</v>
      </c>
      <c r="Q307" s="4">
        <v>0</v>
      </c>
      <c r="R307" s="7" t="str">
        <f>"&lt;color=#"&amp;VLOOKUP(E307,[1]品质主表!$B$6:$C$13,2,FALSE)&amp;"&gt;"&amp;C307&amp;"&lt;/color&gt;"</f>
        <v>&lt;color=#18e71a&gt;紫霞衣&lt;/color&gt;</v>
      </c>
    </row>
    <row r="308" spans="2:18" x14ac:dyDescent="0.3">
      <c r="B308" s="1">
        <v>31003</v>
      </c>
      <c r="C308" t="s">
        <v>291</v>
      </c>
      <c r="E308" s="1">
        <v>2</v>
      </c>
      <c r="F308" s="4">
        <v>9</v>
      </c>
      <c r="G308" s="10">
        <v>5</v>
      </c>
      <c r="H308" s="10">
        <v>1</v>
      </c>
      <c r="J308" s="15" t="s">
        <v>292</v>
      </c>
      <c r="L308" s="4">
        <f t="shared" si="35"/>
        <v>31003</v>
      </c>
      <c r="M308" s="4">
        <v>0</v>
      </c>
      <c r="N308" s="4">
        <f t="shared" si="17"/>
        <v>31003</v>
      </c>
      <c r="O308" s="4">
        <v>1</v>
      </c>
      <c r="P308" s="4">
        <v>0</v>
      </c>
      <c r="Q308" s="4">
        <v>0</v>
      </c>
      <c r="R308" s="7" t="str">
        <f>"&lt;color=#"&amp;VLOOKUP(E308,[1]品质主表!$B$6:$C$13,2,FALSE)&amp;"&gt;"&amp;C308&amp;"&lt;/color&gt;"</f>
        <v>&lt;color=#40f3ff&gt;玄冰甲&lt;/color&gt;</v>
      </c>
    </row>
    <row r="309" spans="2:18" x14ac:dyDescent="0.3">
      <c r="B309" s="1">
        <v>31004</v>
      </c>
      <c r="C309" s="22" t="s">
        <v>397</v>
      </c>
      <c r="E309" s="1">
        <v>3</v>
      </c>
      <c r="F309" s="4">
        <v>9</v>
      </c>
      <c r="G309" s="10">
        <v>5</v>
      </c>
      <c r="H309" s="10">
        <v>1</v>
      </c>
      <c r="J309" s="15" t="s">
        <v>293</v>
      </c>
      <c r="L309" s="4">
        <f t="shared" si="35"/>
        <v>31004</v>
      </c>
      <c r="M309" s="4">
        <v>0</v>
      </c>
      <c r="N309" s="4">
        <f t="shared" si="17"/>
        <v>31004</v>
      </c>
      <c r="O309" s="4">
        <v>1</v>
      </c>
      <c r="P309" s="4">
        <v>0</v>
      </c>
      <c r="Q309" s="4">
        <v>0</v>
      </c>
      <c r="R309" s="7" t="str">
        <f>"&lt;color=#"&amp;VLOOKUP(E309,[1]品质主表!$B$6:$C$13,2,FALSE)&amp;"&gt;"&amp;C309&amp;"&lt;/color&gt;"</f>
        <v>&lt;color=#f044dc&gt;虎牙坠&lt;/color&gt;</v>
      </c>
    </row>
    <row r="310" spans="2:18" x14ac:dyDescent="0.3">
      <c r="B310" s="1">
        <v>31005</v>
      </c>
      <c r="C310" t="s">
        <v>294</v>
      </c>
      <c r="E310" s="1">
        <v>4</v>
      </c>
      <c r="F310" s="4">
        <v>9</v>
      </c>
      <c r="G310" s="10">
        <v>5</v>
      </c>
      <c r="H310" s="10">
        <v>1</v>
      </c>
      <c r="J310" s="15" t="s">
        <v>295</v>
      </c>
      <c r="L310" s="4">
        <f t="shared" si="35"/>
        <v>31005</v>
      </c>
      <c r="M310" s="4">
        <v>0</v>
      </c>
      <c r="N310" s="4">
        <f t="shared" si="17"/>
        <v>31005</v>
      </c>
      <c r="O310" s="4">
        <v>1</v>
      </c>
      <c r="P310" s="4">
        <v>0</v>
      </c>
      <c r="Q310" s="4">
        <v>0</v>
      </c>
      <c r="R310" s="7" t="str">
        <f>"&lt;color=#"&amp;VLOOKUP(E310,[1]品质主表!$B$6:$C$13,2,FALSE)&amp;"&gt;"&amp;C310&amp;"&lt;/color&gt;"</f>
        <v>&lt;color=#edde00&gt;蟠龙符&lt;/color&gt;</v>
      </c>
    </row>
    <row r="311" spans="2:18" x14ac:dyDescent="0.3">
      <c r="B311" s="1">
        <v>31006</v>
      </c>
      <c r="C311" s="22" t="s">
        <v>398</v>
      </c>
      <c r="E311" s="1">
        <v>5</v>
      </c>
      <c r="F311" s="4">
        <v>9</v>
      </c>
      <c r="G311" s="10">
        <v>5</v>
      </c>
      <c r="H311" s="10">
        <v>1</v>
      </c>
      <c r="J311" s="15" t="s">
        <v>296</v>
      </c>
      <c r="L311" s="4">
        <f t="shared" si="35"/>
        <v>31006</v>
      </c>
      <c r="M311" s="4">
        <v>0</v>
      </c>
      <c r="N311" s="4">
        <f t="shared" si="17"/>
        <v>31006</v>
      </c>
      <c r="O311" s="4">
        <v>1</v>
      </c>
      <c r="P311" s="4">
        <v>0</v>
      </c>
      <c r="Q311" s="4">
        <v>0</v>
      </c>
      <c r="R311" s="7" t="str">
        <f>"&lt;color=#"&amp;VLOOKUP(E311,[1]品质主表!$B$6:$C$13,2,FALSE)&amp;"&gt;"&amp;C311&amp;"&lt;/color&gt;"</f>
        <v>&lt;color=#ff8000&gt;甘露瓶&lt;/color&gt;</v>
      </c>
    </row>
    <row r="312" spans="2:18" x14ac:dyDescent="0.3">
      <c r="B312" s="1">
        <v>31007</v>
      </c>
      <c r="C312" s="22" t="s">
        <v>399</v>
      </c>
      <c r="E312" s="1">
        <v>6</v>
      </c>
      <c r="F312" s="4">
        <v>9</v>
      </c>
      <c r="G312" s="10">
        <v>5</v>
      </c>
      <c r="H312" s="10">
        <v>1</v>
      </c>
      <c r="J312" s="15" t="s">
        <v>297</v>
      </c>
      <c r="L312" s="4">
        <f t="shared" si="35"/>
        <v>31007</v>
      </c>
      <c r="M312" s="4">
        <v>0</v>
      </c>
      <c r="N312" s="4">
        <f t="shared" si="17"/>
        <v>31007</v>
      </c>
      <c r="O312" s="4">
        <v>1</v>
      </c>
      <c r="P312" s="4">
        <v>0</v>
      </c>
      <c r="Q312" s="4">
        <v>0</v>
      </c>
      <c r="R312" s="7" t="str">
        <f>"&lt;color=#"&amp;VLOOKUP(E312,[1]品质主表!$B$6:$C$13,2,FALSE)&amp;"&gt;"&amp;C312&amp;"&lt;/color&gt;"</f>
        <v>&lt;color=#ff4d4d&gt;碧莲台&lt;/color&gt;</v>
      </c>
    </row>
    <row r="313" spans="2:18" x14ac:dyDescent="0.3">
      <c r="B313" s="1">
        <v>31008</v>
      </c>
      <c r="C313" s="22" t="s">
        <v>401</v>
      </c>
      <c r="E313" s="1">
        <v>7</v>
      </c>
      <c r="F313" s="4">
        <v>9</v>
      </c>
      <c r="G313" s="10">
        <v>5</v>
      </c>
      <c r="H313" s="10">
        <v>1</v>
      </c>
      <c r="J313" s="15" t="s">
        <v>298</v>
      </c>
      <c r="L313" s="4">
        <f t="shared" si="35"/>
        <v>31008</v>
      </c>
      <c r="M313" s="4">
        <v>0</v>
      </c>
      <c r="N313" s="4">
        <f t="shared" si="17"/>
        <v>31008</v>
      </c>
      <c r="O313" s="4">
        <v>1</v>
      </c>
      <c r="P313" s="4">
        <v>0</v>
      </c>
      <c r="Q313" s="4">
        <v>0</v>
      </c>
      <c r="R313" s="7" t="str">
        <f>"&lt;color=#"&amp;VLOOKUP(E313,[1]品质主表!$B$6:$C$13,2,FALSE)&amp;"&gt;"&amp;C313&amp;"&lt;/color&gt;"</f>
        <v>&lt;color=#ff779d&gt;定风珠&lt;/color&gt;</v>
      </c>
    </row>
    <row r="314" spans="2:18" x14ac:dyDescent="0.3">
      <c r="B314" s="1">
        <v>31009</v>
      </c>
      <c r="C314" t="s">
        <v>299</v>
      </c>
      <c r="E314" s="1">
        <v>7</v>
      </c>
      <c r="F314" s="4">
        <v>9</v>
      </c>
      <c r="G314" s="10">
        <v>5</v>
      </c>
      <c r="H314" s="10">
        <v>1</v>
      </c>
      <c r="J314" s="15" t="s">
        <v>300</v>
      </c>
      <c r="L314" s="4">
        <f t="shared" si="35"/>
        <v>31009</v>
      </c>
      <c r="M314" s="4">
        <v>0</v>
      </c>
      <c r="N314" s="4">
        <f t="shared" si="17"/>
        <v>31009</v>
      </c>
      <c r="O314" s="4">
        <v>1</v>
      </c>
      <c r="P314" s="4">
        <v>0</v>
      </c>
      <c r="Q314" s="4">
        <v>0</v>
      </c>
      <c r="R314" s="7" t="str">
        <f>"&lt;color=#"&amp;VLOOKUP(E314,[1]品质主表!$B$6:$C$13,2,FALSE)&amp;"&gt;"&amp;C314&amp;"&lt;/color&gt;"</f>
        <v>&lt;color=#ff779d&gt;炼妖壶&lt;/color&gt;</v>
      </c>
    </row>
    <row r="315" spans="2:18" x14ac:dyDescent="0.3">
      <c r="B315" s="1">
        <v>31010</v>
      </c>
      <c r="C315" s="22" t="s">
        <v>400</v>
      </c>
      <c r="E315" s="1">
        <v>7</v>
      </c>
      <c r="F315" s="4">
        <v>9</v>
      </c>
      <c r="G315" s="10">
        <v>5</v>
      </c>
      <c r="H315" s="10">
        <v>1</v>
      </c>
      <c r="J315" s="15" t="s">
        <v>301</v>
      </c>
      <c r="L315" s="4">
        <f t="shared" si="35"/>
        <v>31010</v>
      </c>
      <c r="M315" s="4">
        <v>0</v>
      </c>
      <c r="N315" s="4">
        <f t="shared" si="17"/>
        <v>31010</v>
      </c>
      <c r="O315" s="4">
        <v>1</v>
      </c>
      <c r="P315" s="4">
        <v>0</v>
      </c>
      <c r="Q315" s="4">
        <v>0</v>
      </c>
      <c r="R315" s="7" t="str">
        <f>"&lt;color=#"&amp;VLOOKUP(E315,[1]品质主表!$B$6:$C$13,2,FALSE)&amp;"&gt;"&amp;C315&amp;"&lt;/color&gt;"</f>
        <v>&lt;color=#ff779d&gt;幽梦莲&lt;/color&gt;</v>
      </c>
    </row>
    <row r="316" spans="2:18" x14ac:dyDescent="0.3">
      <c r="B316" s="1">
        <v>31011</v>
      </c>
      <c r="C316" s="22" t="s">
        <v>402</v>
      </c>
      <c r="E316" s="1">
        <v>7</v>
      </c>
      <c r="F316" s="4">
        <v>9</v>
      </c>
      <c r="G316" s="10">
        <v>5</v>
      </c>
      <c r="H316" s="10">
        <v>1</v>
      </c>
      <c r="J316" s="15" t="s">
        <v>302</v>
      </c>
      <c r="L316" s="4">
        <f t="shared" si="35"/>
        <v>31011</v>
      </c>
      <c r="M316" s="4">
        <v>0</v>
      </c>
      <c r="N316" s="4">
        <f t="shared" si="17"/>
        <v>31011</v>
      </c>
      <c r="O316" s="4">
        <v>1</v>
      </c>
      <c r="P316" s="4">
        <v>0</v>
      </c>
      <c r="Q316" s="4">
        <v>0</v>
      </c>
      <c r="R316" s="7" t="str">
        <f>"&lt;color=#"&amp;VLOOKUP(E316,[1]品质主表!$B$6:$C$13,2,FALSE)&amp;"&gt;"&amp;C316&amp;"&lt;/color&gt;"</f>
        <v>&lt;color=#ff779d&gt;金籁笛&lt;/color&gt;</v>
      </c>
    </row>
    <row r="317" spans="2:18" x14ac:dyDescent="0.3">
      <c r="B317" s="1">
        <v>31012</v>
      </c>
      <c r="C317" s="22" t="s">
        <v>403</v>
      </c>
      <c r="E317" s="1">
        <v>7</v>
      </c>
      <c r="F317" s="4">
        <v>9</v>
      </c>
      <c r="G317" s="10">
        <v>5</v>
      </c>
      <c r="H317" s="10">
        <v>1</v>
      </c>
      <c r="J317" s="15" t="s">
        <v>303</v>
      </c>
      <c r="L317" s="4">
        <f t="shared" si="35"/>
        <v>31012</v>
      </c>
      <c r="M317" s="4">
        <v>0</v>
      </c>
      <c r="N317" s="4">
        <f t="shared" si="17"/>
        <v>31012</v>
      </c>
      <c r="O317" s="4">
        <v>1</v>
      </c>
      <c r="P317" s="4">
        <v>0</v>
      </c>
      <c r="Q317" s="4">
        <v>0</v>
      </c>
      <c r="R317" s="7" t="str">
        <f>"&lt;color=#"&amp;VLOOKUP(E317,[1]品质主表!$B$6:$C$13,2,FALSE)&amp;"&gt;"&amp;C317&amp;"&lt;/color&gt;"</f>
        <v>&lt;color=#ff779d&gt;琉璃盏&lt;/color&gt;</v>
      </c>
    </row>
    <row r="318" spans="2:18" x14ac:dyDescent="0.3">
      <c r="B318" s="1">
        <v>40001</v>
      </c>
      <c r="C318" t="s">
        <v>308</v>
      </c>
      <c r="E318" s="1">
        <v>1</v>
      </c>
      <c r="F318" s="4">
        <v>10</v>
      </c>
      <c r="G318" s="10">
        <v>5</v>
      </c>
      <c r="H318" s="10">
        <v>1</v>
      </c>
      <c r="J318" s="15" t="s">
        <v>304</v>
      </c>
      <c r="L318" s="4">
        <f t="shared" si="35"/>
        <v>40001</v>
      </c>
      <c r="M318" s="4">
        <v>0</v>
      </c>
      <c r="N318" s="4">
        <f t="shared" si="17"/>
        <v>40001</v>
      </c>
      <c r="O318" s="4">
        <v>1</v>
      </c>
      <c r="P318" s="4">
        <v>0</v>
      </c>
      <c r="Q318" s="4">
        <v>0</v>
      </c>
      <c r="R318" s="7" t="str">
        <f>"&lt;color=#"&amp;VLOOKUP(E318,[1]品质主表!$B$6:$C$13,2,FALSE)&amp;"&gt;"&amp;C318&amp;"&lt;/color&gt;"</f>
        <v>&lt;color=#18e71a&gt;跟斗云&lt;/color&gt;</v>
      </c>
    </row>
    <row r="319" spans="2:18" x14ac:dyDescent="0.3">
      <c r="B319" s="1">
        <v>40002</v>
      </c>
      <c r="C319" s="16" t="s">
        <v>428</v>
      </c>
      <c r="E319" s="1">
        <v>2</v>
      </c>
      <c r="F319" s="4">
        <v>10</v>
      </c>
      <c r="G319" s="10">
        <v>5</v>
      </c>
      <c r="H319" s="10">
        <v>1</v>
      </c>
      <c r="J319" s="15" t="s">
        <v>305</v>
      </c>
      <c r="L319" s="4">
        <f t="shared" si="35"/>
        <v>40002</v>
      </c>
      <c r="M319" s="4">
        <v>0</v>
      </c>
      <c r="N319" s="4">
        <f t="shared" si="17"/>
        <v>40002</v>
      </c>
      <c r="O319" s="4">
        <v>1</v>
      </c>
      <c r="P319" s="4">
        <v>0</v>
      </c>
      <c r="Q319" s="4">
        <v>0</v>
      </c>
      <c r="R319" s="7" t="str">
        <f>"&lt;color=#"&amp;VLOOKUP(E319,[1]品质主表!$B$6:$C$13,2,FALSE)&amp;"&gt;"&amp;C319&amp;"&lt;/color&gt;"</f>
        <v>&lt;color=#40f3ff&gt;流星剑&lt;/color&gt;</v>
      </c>
    </row>
    <row r="320" spans="2:18" x14ac:dyDescent="0.3">
      <c r="B320" s="1">
        <v>40003</v>
      </c>
      <c r="C320" t="s">
        <v>306</v>
      </c>
      <c r="E320" s="1">
        <v>3</v>
      </c>
      <c r="F320" s="4">
        <v>10</v>
      </c>
      <c r="G320" s="10">
        <v>5</v>
      </c>
      <c r="H320" s="10">
        <v>1</v>
      </c>
      <c r="J320" s="15" t="s">
        <v>307</v>
      </c>
      <c r="L320" s="4">
        <f t="shared" si="35"/>
        <v>40003</v>
      </c>
      <c r="M320" s="4">
        <v>0</v>
      </c>
      <c r="N320" s="4">
        <f t="shared" ref="N320:N336" si="36">L320</f>
        <v>40003</v>
      </c>
      <c r="O320" s="4">
        <v>1</v>
      </c>
      <c r="P320" s="4">
        <v>0</v>
      </c>
      <c r="Q320" s="4">
        <v>0</v>
      </c>
      <c r="R320" s="7" t="str">
        <f>"&lt;color=#"&amp;VLOOKUP(E320,[1]品质主表!$B$6:$C$13,2,FALSE)&amp;"&gt;"&amp;C320&amp;"&lt;/color&gt;"</f>
        <v>&lt;color=#f044dc&gt;风火轮&lt;/color&gt;</v>
      </c>
    </row>
    <row r="321" spans="2:18" x14ac:dyDescent="0.3">
      <c r="B321" s="1">
        <v>40004</v>
      </c>
      <c r="C321" s="16" t="s">
        <v>387</v>
      </c>
      <c r="E321" s="1">
        <v>4</v>
      </c>
      <c r="F321" s="4">
        <v>10</v>
      </c>
      <c r="G321" s="10">
        <v>5</v>
      </c>
      <c r="H321" s="10">
        <v>1</v>
      </c>
      <c r="J321" s="15" t="s">
        <v>309</v>
      </c>
      <c r="L321" s="4">
        <f t="shared" si="35"/>
        <v>40004</v>
      </c>
      <c r="M321" s="4">
        <v>0</v>
      </c>
      <c r="N321" s="4">
        <f t="shared" si="36"/>
        <v>40004</v>
      </c>
      <c r="O321" s="4">
        <v>1</v>
      </c>
      <c r="P321" s="4">
        <v>0</v>
      </c>
      <c r="Q321" s="4">
        <v>0</v>
      </c>
      <c r="R321" s="7" t="str">
        <f>"&lt;color=#"&amp;VLOOKUP(E321,[1]品质主表!$B$6:$C$13,2,FALSE)&amp;"&gt;"&amp;C321&amp;"&lt;/color&gt;"</f>
        <v>&lt;color=#edde00&gt;波涌浪&lt;/color&gt;</v>
      </c>
    </row>
    <row r="322" spans="2:18" x14ac:dyDescent="0.3">
      <c r="B322" s="1">
        <v>40005</v>
      </c>
      <c r="C322" t="s">
        <v>311</v>
      </c>
      <c r="E322" s="1">
        <v>5</v>
      </c>
      <c r="F322" s="4">
        <v>10</v>
      </c>
      <c r="G322" s="10">
        <v>5</v>
      </c>
      <c r="H322" s="10">
        <v>1</v>
      </c>
      <c r="J322" s="15" t="s">
        <v>310</v>
      </c>
      <c r="L322" s="4">
        <f t="shared" si="35"/>
        <v>40005</v>
      </c>
      <c r="M322" s="4">
        <v>0</v>
      </c>
      <c r="N322" s="4">
        <f t="shared" si="36"/>
        <v>40005</v>
      </c>
      <c r="O322" s="4">
        <v>1</v>
      </c>
      <c r="P322" s="4">
        <v>0</v>
      </c>
      <c r="Q322" s="4">
        <v>0</v>
      </c>
      <c r="R322" s="7" t="str">
        <f>"&lt;color=#"&amp;VLOOKUP(E322,[1]品质主表!$B$6:$C$13,2,FALSE)&amp;"&gt;"&amp;C322&amp;"&lt;/color&gt;"</f>
        <v>&lt;color=#ff8000&gt;莲花台&lt;/color&gt;</v>
      </c>
    </row>
    <row r="323" spans="2:18" x14ac:dyDescent="0.3">
      <c r="B323" s="1">
        <v>40006</v>
      </c>
      <c r="C323" s="16" t="s">
        <v>429</v>
      </c>
      <c r="E323" s="1">
        <v>6</v>
      </c>
      <c r="F323" s="4">
        <v>10</v>
      </c>
      <c r="G323" s="10">
        <v>5</v>
      </c>
      <c r="H323" s="10">
        <v>1</v>
      </c>
      <c r="J323" s="15" t="s">
        <v>312</v>
      </c>
      <c r="L323" s="4">
        <f t="shared" si="35"/>
        <v>40006</v>
      </c>
      <c r="M323" s="4">
        <v>0</v>
      </c>
      <c r="N323" s="4">
        <f t="shared" si="36"/>
        <v>40006</v>
      </c>
      <c r="O323" s="4">
        <v>1</v>
      </c>
      <c r="P323" s="4">
        <v>0</v>
      </c>
      <c r="Q323" s="4">
        <v>0</v>
      </c>
      <c r="R323" s="7" t="str">
        <f>"&lt;color=#"&amp;VLOOKUP(E323,[1]品质主表!$B$6:$C$13,2,FALSE)&amp;"&gt;"&amp;C323&amp;"&lt;/color&gt;"</f>
        <v>&lt;color=#ff4d4d&gt;七彩云&lt;/color&gt;</v>
      </c>
    </row>
    <row r="324" spans="2:18" x14ac:dyDescent="0.3">
      <c r="B324" s="1">
        <v>40007</v>
      </c>
      <c r="C324" s="16" t="s">
        <v>388</v>
      </c>
      <c r="E324" s="1">
        <v>7</v>
      </c>
      <c r="F324" s="4">
        <v>10</v>
      </c>
      <c r="G324" s="10">
        <v>5</v>
      </c>
      <c r="H324" s="10">
        <v>1</v>
      </c>
      <c r="J324" s="15" t="s">
        <v>313</v>
      </c>
      <c r="L324" s="4">
        <f t="shared" si="35"/>
        <v>40007</v>
      </c>
      <c r="M324" s="4">
        <v>0</v>
      </c>
      <c r="N324" s="4">
        <f t="shared" si="36"/>
        <v>40007</v>
      </c>
      <c r="O324" s="4">
        <v>1</v>
      </c>
      <c r="P324" s="4">
        <v>0</v>
      </c>
      <c r="Q324" s="4">
        <v>0</v>
      </c>
      <c r="R324" s="7" t="str">
        <f>"&lt;color=#"&amp;VLOOKUP(E324,[1]品质主表!$B$6:$C$13,2,FALSE)&amp;"&gt;"&amp;C324&amp;"&lt;/color&gt;"</f>
        <v>&lt;color=#ff779d&gt;飞花枝&lt;/color&gt;</v>
      </c>
    </row>
    <row r="325" spans="2:18" x14ac:dyDescent="0.3">
      <c r="B325" s="1">
        <v>40008</v>
      </c>
      <c r="C325" s="16" t="s">
        <v>389</v>
      </c>
      <c r="E325" s="1">
        <v>7</v>
      </c>
      <c r="F325" s="4">
        <v>10</v>
      </c>
      <c r="G325" s="10">
        <v>5</v>
      </c>
      <c r="H325" s="10">
        <v>1</v>
      </c>
      <c r="J325" s="15" t="s">
        <v>314</v>
      </c>
      <c r="L325" s="4">
        <f t="shared" si="35"/>
        <v>40008</v>
      </c>
      <c r="M325" s="4">
        <v>0</v>
      </c>
      <c r="N325" s="4">
        <f t="shared" si="36"/>
        <v>40008</v>
      </c>
      <c r="O325" s="4">
        <v>1</v>
      </c>
      <c r="P325" s="4">
        <v>0</v>
      </c>
      <c r="Q325" s="4">
        <v>0</v>
      </c>
      <c r="R325" s="7" t="str">
        <f>"&lt;color=#"&amp;VLOOKUP(E325,[1]品质主表!$B$6:$C$13,2,FALSE)&amp;"&gt;"&amp;C325&amp;"&lt;/color&gt;"</f>
        <v>&lt;color=#ff779d&gt;云羽鹤&lt;/color&gt;</v>
      </c>
    </row>
    <row r="326" spans="2:18" x14ac:dyDescent="0.3">
      <c r="B326" s="1">
        <v>41001</v>
      </c>
      <c r="C326" s="16" t="s">
        <v>803</v>
      </c>
      <c r="E326" s="1">
        <v>7</v>
      </c>
      <c r="F326" s="4">
        <v>10</v>
      </c>
      <c r="G326" s="10">
        <v>5</v>
      </c>
      <c r="H326" s="10">
        <v>1</v>
      </c>
      <c r="J326" s="39" t="s">
        <v>792</v>
      </c>
      <c r="L326" s="4">
        <f t="shared" si="35"/>
        <v>41001</v>
      </c>
      <c r="M326" s="4">
        <v>0</v>
      </c>
      <c r="N326" s="4">
        <f t="shared" ref="N326" si="37">L326</f>
        <v>41001</v>
      </c>
      <c r="O326" s="4">
        <v>1</v>
      </c>
      <c r="P326" s="4">
        <v>0</v>
      </c>
      <c r="Q326" s="4">
        <v>0</v>
      </c>
      <c r="R326" s="7" t="str">
        <f>"&lt;color=#"&amp;VLOOKUP(E326,[1]品质主表!$B$6:$C$13,2,FALSE)&amp;"&gt;"&amp;C326&amp;"&lt;/color&gt;"</f>
        <v>&lt;color=#ff779d&gt;火凤凰&lt;/color&gt;</v>
      </c>
    </row>
    <row r="327" spans="2:18" x14ac:dyDescent="0.3">
      <c r="B327" s="1">
        <v>41002</v>
      </c>
      <c r="C327" s="16" t="s">
        <v>795</v>
      </c>
      <c r="E327" s="1">
        <v>5</v>
      </c>
      <c r="F327" s="4">
        <v>10</v>
      </c>
      <c r="G327" s="10">
        <v>5</v>
      </c>
      <c r="H327" s="10">
        <v>1</v>
      </c>
      <c r="J327" s="39" t="s">
        <v>796</v>
      </c>
      <c r="L327" s="4">
        <f t="shared" si="35"/>
        <v>41002</v>
      </c>
      <c r="M327" s="4">
        <v>0</v>
      </c>
      <c r="N327" s="4">
        <f t="shared" ref="N327" si="38">L327</f>
        <v>41002</v>
      </c>
      <c r="O327" s="4">
        <v>1</v>
      </c>
      <c r="P327" s="4">
        <v>0</v>
      </c>
      <c r="Q327" s="4">
        <v>0</v>
      </c>
      <c r="R327" s="7" t="str">
        <f>"&lt;color=#"&amp;VLOOKUP(E327,[1]品质主表!$B$6:$C$13,2,FALSE)&amp;"&gt;"&amp;C327&amp;"&lt;/color&gt;"</f>
        <v>&lt;color=#ff8000&gt;仙宝儿&lt;/color&gt;</v>
      </c>
    </row>
    <row r="328" spans="2:18" x14ac:dyDescent="0.3">
      <c r="B328" s="1">
        <v>41003</v>
      </c>
      <c r="C328" s="16" t="s">
        <v>909</v>
      </c>
      <c r="E328" s="1">
        <v>5</v>
      </c>
      <c r="F328" s="4">
        <v>10</v>
      </c>
      <c r="G328" s="10">
        <v>5</v>
      </c>
      <c r="H328" s="10">
        <v>1</v>
      </c>
      <c r="J328" s="39" t="s">
        <v>910</v>
      </c>
      <c r="L328" s="4">
        <f t="shared" si="35"/>
        <v>41003</v>
      </c>
      <c r="M328" s="4">
        <v>0</v>
      </c>
      <c r="N328" s="4">
        <f t="shared" ref="N328:N329" si="39">L328</f>
        <v>41003</v>
      </c>
      <c r="O328" s="4">
        <v>1</v>
      </c>
      <c r="P328" s="4">
        <v>0</v>
      </c>
      <c r="Q328" s="4">
        <v>0</v>
      </c>
      <c r="R328" s="7" t="str">
        <f>"&lt;color=#"&amp;VLOOKUP(E328,[1]品质主表!$B$6:$C$13,2,FALSE)&amp;"&gt;"&amp;C328&amp;"&lt;/color&gt;"</f>
        <v>&lt;color=#ff8000&gt;雪灵狐&lt;/color&gt;</v>
      </c>
    </row>
    <row r="329" spans="2:18" x14ac:dyDescent="0.3">
      <c r="B329" s="1">
        <v>41004</v>
      </c>
      <c r="C329" s="16" t="s">
        <v>912</v>
      </c>
      <c r="E329" s="1">
        <v>5</v>
      </c>
      <c r="F329" s="4">
        <v>10</v>
      </c>
      <c r="G329" s="10">
        <v>5</v>
      </c>
      <c r="H329" s="10">
        <v>1</v>
      </c>
      <c r="J329" s="39" t="s">
        <v>913</v>
      </c>
      <c r="L329" s="4">
        <f t="shared" si="35"/>
        <v>41004</v>
      </c>
      <c r="M329" s="4">
        <v>0</v>
      </c>
      <c r="N329" s="4">
        <f t="shared" si="39"/>
        <v>41004</v>
      </c>
      <c r="O329" s="4">
        <v>1</v>
      </c>
      <c r="P329" s="4">
        <v>0</v>
      </c>
      <c r="Q329" s="4">
        <v>0</v>
      </c>
      <c r="R329" s="7" t="str">
        <f>"&lt;color=#"&amp;VLOOKUP(E329,[1]品质主表!$B$6:$C$13,2,FALSE)&amp;"&gt;"&amp;C329&amp;"&lt;/color&gt;"</f>
        <v>&lt;color=#ff8000&gt;碧麒麟&lt;/color&gt;</v>
      </c>
    </row>
    <row r="330" spans="2:18" x14ac:dyDescent="0.3">
      <c r="B330" s="1">
        <v>41005</v>
      </c>
      <c r="C330" s="16" t="s">
        <v>919</v>
      </c>
      <c r="E330" s="1">
        <v>5</v>
      </c>
      <c r="F330" s="4">
        <v>10</v>
      </c>
      <c r="G330" s="10">
        <v>5</v>
      </c>
      <c r="H330" s="10">
        <v>1</v>
      </c>
      <c r="J330" s="39" t="s">
        <v>914</v>
      </c>
      <c r="L330" s="4">
        <f t="shared" si="35"/>
        <v>41005</v>
      </c>
      <c r="M330" s="4">
        <v>0</v>
      </c>
      <c r="N330" s="4">
        <f t="shared" ref="N330" si="40">L330</f>
        <v>41005</v>
      </c>
      <c r="O330" s="4">
        <v>1</v>
      </c>
      <c r="P330" s="4">
        <v>0</v>
      </c>
      <c r="Q330" s="4">
        <v>0</v>
      </c>
      <c r="R330" s="7" t="str">
        <f>"&lt;color=#"&amp;VLOOKUP(E330,[1]品质主表!$B$6:$C$13,2,FALSE)&amp;"&gt;"&amp;C330&amp;"&lt;/color&gt;"</f>
        <v>&lt;color=#ff8000&gt;金龙鱼&lt;/color&gt;</v>
      </c>
    </row>
    <row r="331" spans="2:18" x14ac:dyDescent="0.3">
      <c r="B331" s="1">
        <v>41006</v>
      </c>
      <c r="C331" s="16" t="s">
        <v>924</v>
      </c>
      <c r="E331" s="1">
        <v>5</v>
      </c>
      <c r="F331" s="4">
        <v>10</v>
      </c>
      <c r="G331" s="10">
        <v>5</v>
      </c>
      <c r="H331" s="10">
        <v>1</v>
      </c>
      <c r="J331" s="39" t="s">
        <v>925</v>
      </c>
      <c r="L331" s="4">
        <f t="shared" ref="L331" si="41">B331</f>
        <v>41006</v>
      </c>
      <c r="M331" s="4">
        <v>0</v>
      </c>
      <c r="N331" s="4">
        <f t="shared" ref="N331" si="42">L331</f>
        <v>41006</v>
      </c>
      <c r="O331" s="4">
        <v>1</v>
      </c>
      <c r="P331" s="4">
        <v>0</v>
      </c>
      <c r="Q331" s="4">
        <v>0</v>
      </c>
      <c r="R331" s="7" t="str">
        <f>"&lt;color=#"&amp;VLOOKUP(E331,[1]品质主表!$B$6:$C$13,2,FALSE)&amp;"&gt;"&amp;C331&amp;"&lt;/color&gt;"</f>
        <v>&lt;color=#ff8000&gt;花间蝶&lt;/color&gt;</v>
      </c>
    </row>
    <row r="332" spans="2:18" x14ac:dyDescent="0.3">
      <c r="B332" s="1">
        <v>41007</v>
      </c>
      <c r="C332" s="16" t="s">
        <v>938</v>
      </c>
      <c r="E332" s="1">
        <v>5</v>
      </c>
      <c r="F332" s="4">
        <v>10</v>
      </c>
      <c r="G332" s="10">
        <v>5</v>
      </c>
      <c r="H332" s="10">
        <v>1</v>
      </c>
      <c r="J332" s="39" t="s">
        <v>936</v>
      </c>
      <c r="L332" s="4">
        <f t="shared" ref="L332:L333" si="43">B332</f>
        <v>41007</v>
      </c>
      <c r="M332" s="4">
        <v>0</v>
      </c>
      <c r="N332" s="4">
        <f t="shared" ref="N332:N333" si="44">L332</f>
        <v>41007</v>
      </c>
      <c r="O332" s="4">
        <v>1</v>
      </c>
      <c r="P332" s="4">
        <v>0</v>
      </c>
      <c r="Q332" s="4">
        <v>0</v>
      </c>
      <c r="R332" s="7" t="str">
        <f>"&lt;color=#"&amp;VLOOKUP(E332,[1]品质主表!$B$6:$C$13,2,FALSE)&amp;"&gt;"&amp;C332&amp;"&lt;/color&gt;"</f>
        <v>&lt;color=#ff8000&gt;月影兔&lt;/color&gt;</v>
      </c>
    </row>
    <row r="333" spans="2:18" x14ac:dyDescent="0.3">
      <c r="B333" s="1">
        <v>41008</v>
      </c>
      <c r="C333" s="16" t="s">
        <v>1004</v>
      </c>
      <c r="E333" s="1">
        <v>5</v>
      </c>
      <c r="F333" s="4">
        <v>10</v>
      </c>
      <c r="G333" s="10">
        <v>5</v>
      </c>
      <c r="H333" s="10">
        <v>1</v>
      </c>
      <c r="J333" s="39" t="s">
        <v>1006</v>
      </c>
      <c r="L333" s="4">
        <f t="shared" si="43"/>
        <v>41008</v>
      </c>
      <c r="M333" s="4">
        <v>0</v>
      </c>
      <c r="N333" s="4">
        <f t="shared" si="44"/>
        <v>41008</v>
      </c>
      <c r="O333" s="4">
        <v>1</v>
      </c>
      <c r="P333" s="4">
        <v>0</v>
      </c>
      <c r="Q333" s="4">
        <v>0</v>
      </c>
      <c r="R333" s="7" t="str">
        <f>"&lt;color=#"&amp;VLOOKUP(E333,[1]品质主表!$B$6:$C$13,2,FALSE)&amp;"&gt;"&amp;C333&amp;"&lt;/color&gt;"</f>
        <v>&lt;color=#ff8000&gt;五彩猫&lt;/color&gt;</v>
      </c>
    </row>
    <row r="334" spans="2:18" x14ac:dyDescent="0.3">
      <c r="B334" s="1">
        <v>41009</v>
      </c>
      <c r="C334" s="16" t="s">
        <v>1005</v>
      </c>
      <c r="E334" s="1">
        <v>5</v>
      </c>
      <c r="F334" s="4">
        <v>10</v>
      </c>
      <c r="G334" s="10">
        <v>5</v>
      </c>
      <c r="H334" s="10">
        <v>1</v>
      </c>
      <c r="J334" s="39" t="s">
        <v>1007</v>
      </c>
      <c r="L334" s="4">
        <f t="shared" ref="L334" si="45">B334</f>
        <v>41009</v>
      </c>
      <c r="M334" s="4">
        <v>0</v>
      </c>
      <c r="N334" s="4">
        <f t="shared" ref="N334" si="46">L334</f>
        <v>41009</v>
      </c>
      <c r="O334" s="4">
        <v>1</v>
      </c>
      <c r="P334" s="4">
        <v>0</v>
      </c>
      <c r="Q334" s="4">
        <v>0</v>
      </c>
      <c r="R334" s="7" t="str">
        <f>"&lt;color=#"&amp;VLOOKUP(E334,[1]品质主表!$B$6:$C$13,2,FALSE)&amp;"&gt;"&amp;C334&amp;"&lt;/color&gt;"</f>
        <v>&lt;color=#ff8000&gt;飞翔马&lt;/color&gt;</v>
      </c>
    </row>
    <row r="335" spans="2:18" x14ac:dyDescent="0.3">
      <c r="B335" s="1">
        <v>50001</v>
      </c>
      <c r="C335" s="16" t="s">
        <v>735</v>
      </c>
      <c r="E335" s="1">
        <v>0</v>
      </c>
      <c r="F335" s="4">
        <v>10</v>
      </c>
      <c r="G335" s="10">
        <v>5</v>
      </c>
      <c r="H335" s="10">
        <v>1</v>
      </c>
      <c r="J335" s="39" t="s">
        <v>672</v>
      </c>
      <c r="L335" s="4">
        <f t="shared" si="35"/>
        <v>50001</v>
      </c>
      <c r="M335" s="4">
        <v>0</v>
      </c>
      <c r="N335" s="4">
        <f t="shared" si="36"/>
        <v>50001</v>
      </c>
      <c r="O335" s="4">
        <v>1</v>
      </c>
      <c r="P335" s="4">
        <v>0</v>
      </c>
      <c r="Q335" s="4">
        <v>0</v>
      </c>
      <c r="R335" s="7" t="str">
        <f>"&lt;color=#"&amp;VLOOKUP(E335,[1]品质主表!$B$6:$C$13,2,FALSE)&amp;"&gt;"&amp;C335&amp;"&lt;/color&gt;"</f>
        <v>&lt;color=#ffffff&gt;幼蛇&lt;/color&gt;</v>
      </c>
    </row>
    <row r="336" spans="2:18" x14ac:dyDescent="0.3">
      <c r="B336" s="1">
        <v>50002</v>
      </c>
      <c r="C336" s="16" t="s">
        <v>680</v>
      </c>
      <c r="E336" s="1">
        <v>1</v>
      </c>
      <c r="F336" s="4">
        <v>10</v>
      </c>
      <c r="G336" s="10">
        <v>5</v>
      </c>
      <c r="H336" s="10">
        <v>1</v>
      </c>
      <c r="J336" s="15" t="s">
        <v>673</v>
      </c>
      <c r="L336" s="4">
        <f t="shared" si="35"/>
        <v>50002</v>
      </c>
      <c r="M336" s="4">
        <v>0</v>
      </c>
      <c r="N336" s="4">
        <f t="shared" si="36"/>
        <v>50002</v>
      </c>
      <c r="O336" s="4">
        <v>1</v>
      </c>
      <c r="P336" s="4">
        <v>0</v>
      </c>
      <c r="Q336" s="4">
        <v>0</v>
      </c>
      <c r="R336" s="7" t="str">
        <f>"&lt;color=#"&amp;VLOOKUP(E336,[1]品质主表!$B$6:$C$13,2,FALSE)&amp;"&gt;"&amp;C336&amp;"&lt;/color&gt;"</f>
        <v>&lt;color=#18e71a&gt;灵蛇&lt;/color&gt;</v>
      </c>
    </row>
    <row r="337" spans="2:18" x14ac:dyDescent="0.3">
      <c r="B337" s="1">
        <v>50003</v>
      </c>
      <c r="C337" t="s">
        <v>736</v>
      </c>
      <c r="E337" s="1">
        <v>2</v>
      </c>
      <c r="F337" s="4">
        <v>10</v>
      </c>
      <c r="G337" s="10">
        <v>5</v>
      </c>
      <c r="H337" s="10">
        <v>1</v>
      </c>
      <c r="J337" s="15" t="s">
        <v>674</v>
      </c>
      <c r="L337" s="4">
        <f t="shared" si="35"/>
        <v>50003</v>
      </c>
      <c r="M337" s="4">
        <v>0</v>
      </c>
      <c r="N337" s="4">
        <f t="shared" ref="N337:N366" si="47">L337</f>
        <v>50003</v>
      </c>
      <c r="O337" s="4">
        <v>1</v>
      </c>
      <c r="P337" s="4">
        <v>0</v>
      </c>
      <c r="Q337" s="4">
        <v>0</v>
      </c>
      <c r="R337" s="7" t="str">
        <f>"&lt;color=#"&amp;VLOOKUP(E337,[1]品质主表!$B$6:$C$13,2,FALSE)&amp;"&gt;"&amp;C337&amp;"&lt;/color&gt;"</f>
        <v>&lt;color=#40f3ff&gt;天蛇&lt;/color&gt;</v>
      </c>
    </row>
    <row r="338" spans="2:18" x14ac:dyDescent="0.3">
      <c r="B338" s="1">
        <v>50004</v>
      </c>
      <c r="C338" s="16" t="s">
        <v>737</v>
      </c>
      <c r="E338" s="1">
        <v>3</v>
      </c>
      <c r="F338" s="4">
        <v>10</v>
      </c>
      <c r="G338" s="10">
        <v>5</v>
      </c>
      <c r="H338" s="10">
        <v>1</v>
      </c>
      <c r="J338" s="15" t="s">
        <v>675</v>
      </c>
      <c r="L338" s="4">
        <f t="shared" si="35"/>
        <v>50004</v>
      </c>
      <c r="M338" s="4">
        <v>0</v>
      </c>
      <c r="N338" s="4">
        <f t="shared" si="47"/>
        <v>50004</v>
      </c>
      <c r="O338" s="4">
        <v>1</v>
      </c>
      <c r="P338" s="4">
        <v>0</v>
      </c>
      <c r="Q338" s="4">
        <v>0</v>
      </c>
      <c r="R338" s="7" t="str">
        <f>"&lt;color=#"&amp;VLOOKUP(E338,[1]品质主表!$B$6:$C$13,2,FALSE)&amp;"&gt;"&amp;C338&amp;"&lt;/color&gt;"</f>
        <v>&lt;color=#f044dc&gt;蛟影&lt;/color&gt;</v>
      </c>
    </row>
    <row r="339" spans="2:18" x14ac:dyDescent="0.3">
      <c r="B339" s="1">
        <v>50005</v>
      </c>
      <c r="C339" t="s">
        <v>738</v>
      </c>
      <c r="E339" s="1">
        <v>4</v>
      </c>
      <c r="F339" s="4">
        <v>10</v>
      </c>
      <c r="G339" s="10">
        <v>5</v>
      </c>
      <c r="H339" s="10">
        <v>1</v>
      </c>
      <c r="J339" s="15" t="s">
        <v>676</v>
      </c>
      <c r="L339" s="4">
        <f t="shared" ref="L339:L370" si="48">B339</f>
        <v>50005</v>
      </c>
      <c r="M339" s="4">
        <v>0</v>
      </c>
      <c r="N339" s="4">
        <f t="shared" si="47"/>
        <v>50005</v>
      </c>
      <c r="O339" s="4">
        <v>1</v>
      </c>
      <c r="P339" s="4">
        <v>0</v>
      </c>
      <c r="Q339" s="4">
        <v>0</v>
      </c>
      <c r="R339" s="7" t="str">
        <f>"&lt;color=#"&amp;VLOOKUP(E339,[1]品质主表!$B$6:$C$13,2,FALSE)&amp;"&gt;"&amp;C339&amp;"&lt;/color&gt;"</f>
        <v>&lt;color=#edde00&gt;蛟灵&lt;/color&gt;</v>
      </c>
    </row>
    <row r="340" spans="2:18" x14ac:dyDescent="0.3">
      <c r="B340" s="1">
        <v>50006</v>
      </c>
      <c r="C340" s="16" t="s">
        <v>739</v>
      </c>
      <c r="E340" s="1">
        <v>5</v>
      </c>
      <c r="F340" s="4">
        <v>10</v>
      </c>
      <c r="G340" s="10">
        <v>5</v>
      </c>
      <c r="H340" s="10">
        <v>1</v>
      </c>
      <c r="J340" s="15" t="s">
        <v>677</v>
      </c>
      <c r="L340" s="4">
        <f t="shared" si="48"/>
        <v>50006</v>
      </c>
      <c r="M340" s="4">
        <v>0</v>
      </c>
      <c r="N340" s="4">
        <f t="shared" si="47"/>
        <v>50006</v>
      </c>
      <c r="O340" s="4">
        <v>1</v>
      </c>
      <c r="P340" s="4">
        <v>0</v>
      </c>
      <c r="Q340" s="4">
        <v>0</v>
      </c>
      <c r="R340" s="7" t="str">
        <f>"&lt;color=#"&amp;VLOOKUP(E340,[1]品质主表!$B$6:$C$13,2,FALSE)&amp;"&gt;"&amp;C340&amp;"&lt;/color&gt;"</f>
        <v>&lt;color=#ff8000&gt;蛟皇&lt;/color&gt;</v>
      </c>
    </row>
    <row r="341" spans="2:18" x14ac:dyDescent="0.3">
      <c r="B341" s="1">
        <v>50007</v>
      </c>
      <c r="C341" s="16" t="s">
        <v>681</v>
      </c>
      <c r="E341" s="1">
        <v>6</v>
      </c>
      <c r="F341" s="4">
        <v>10</v>
      </c>
      <c r="G341" s="10">
        <v>5</v>
      </c>
      <c r="H341" s="10">
        <v>1</v>
      </c>
      <c r="J341" s="15" t="s">
        <v>678</v>
      </c>
      <c r="L341" s="4">
        <f t="shared" si="48"/>
        <v>50007</v>
      </c>
      <c r="M341" s="4">
        <v>0</v>
      </c>
      <c r="N341" s="4">
        <f t="shared" si="47"/>
        <v>50007</v>
      </c>
      <c r="O341" s="4">
        <v>1</v>
      </c>
      <c r="P341" s="4">
        <v>0</v>
      </c>
      <c r="Q341" s="4">
        <v>0</v>
      </c>
      <c r="R341" s="7" t="str">
        <f>"&lt;color=#"&amp;VLOOKUP(E341,[1]品质主表!$B$6:$C$13,2,FALSE)&amp;"&gt;"&amp;C341&amp;"&lt;/color&gt;"</f>
        <v>&lt;color=#ff4d4d&gt;应龙&lt;/color&gt;</v>
      </c>
    </row>
    <row r="342" spans="2:18" x14ac:dyDescent="0.3">
      <c r="B342" s="1">
        <v>50008</v>
      </c>
      <c r="C342" s="16" t="s">
        <v>682</v>
      </c>
      <c r="E342" s="1">
        <v>7</v>
      </c>
      <c r="F342" s="4">
        <v>10</v>
      </c>
      <c r="G342" s="10">
        <v>5</v>
      </c>
      <c r="H342" s="10">
        <v>1</v>
      </c>
      <c r="J342" s="15" t="s">
        <v>679</v>
      </c>
      <c r="L342" s="4">
        <f t="shared" si="48"/>
        <v>50008</v>
      </c>
      <c r="M342" s="4">
        <v>0</v>
      </c>
      <c r="N342" s="4">
        <f t="shared" si="47"/>
        <v>50008</v>
      </c>
      <c r="O342" s="4">
        <v>1</v>
      </c>
      <c r="P342" s="4">
        <v>0</v>
      </c>
      <c r="Q342" s="4">
        <v>0</v>
      </c>
      <c r="R342" s="7" t="str">
        <f>"&lt;color=#"&amp;VLOOKUP(E342,[1]品质主表!$B$6:$C$13,2,FALSE)&amp;"&gt;"&amp;C342&amp;"&lt;/color&gt;"</f>
        <v>&lt;color=#ff779d&gt;金龙&lt;/color&gt;</v>
      </c>
    </row>
    <row r="343" spans="2:18" x14ac:dyDescent="0.3">
      <c r="B343" s="1">
        <v>60001</v>
      </c>
      <c r="C343" s="7" t="s">
        <v>683</v>
      </c>
      <c r="E343" s="1">
        <v>1</v>
      </c>
      <c r="F343" s="4">
        <v>16</v>
      </c>
      <c r="G343" s="10">
        <v>5</v>
      </c>
      <c r="H343" s="10">
        <v>1</v>
      </c>
      <c r="J343" s="15" t="s">
        <v>687</v>
      </c>
      <c r="L343" s="4">
        <f t="shared" si="48"/>
        <v>60001</v>
      </c>
      <c r="M343" s="4">
        <v>0</v>
      </c>
      <c r="N343" s="4">
        <f t="shared" si="47"/>
        <v>60001</v>
      </c>
      <c r="O343" s="4">
        <v>1</v>
      </c>
      <c r="P343" s="4">
        <v>0</v>
      </c>
      <c r="Q343" s="4">
        <v>0</v>
      </c>
      <c r="R343" s="7" t="str">
        <f>"&lt;color=#"&amp;VLOOKUP(E343,[1]品质主表!$B$6:$C$13,2,FALSE)&amp;"&gt;"&amp;C343&amp;"&lt;/color&gt;"</f>
        <v>&lt;color=#18e71a&gt;玄铁灵爪&lt;/color&gt;</v>
      </c>
    </row>
    <row r="344" spans="2:18" x14ac:dyDescent="0.3">
      <c r="B344" s="1">
        <v>60002</v>
      </c>
      <c r="C344" s="7" t="s">
        <v>683</v>
      </c>
      <c r="E344" s="1">
        <v>2</v>
      </c>
      <c r="F344" s="4">
        <v>16</v>
      </c>
      <c r="G344" s="10">
        <v>5</v>
      </c>
      <c r="H344" s="10">
        <v>1</v>
      </c>
      <c r="J344" s="15" t="s">
        <v>688</v>
      </c>
      <c r="L344" s="4">
        <f t="shared" si="48"/>
        <v>60002</v>
      </c>
      <c r="M344" s="4">
        <v>0</v>
      </c>
      <c r="N344" s="4">
        <f t="shared" si="47"/>
        <v>60002</v>
      </c>
      <c r="O344" s="4">
        <v>1</v>
      </c>
      <c r="P344" s="4">
        <v>0</v>
      </c>
      <c r="Q344" s="4">
        <v>0</v>
      </c>
      <c r="R344" s="7" t="str">
        <f>"&lt;color=#"&amp;VLOOKUP(E344,[1]品质主表!$B$6:$C$13,2,FALSE)&amp;"&gt;"&amp;C344&amp;"&lt;/color&gt;"</f>
        <v>&lt;color=#40f3ff&gt;玄铁灵爪&lt;/color&gt;</v>
      </c>
    </row>
    <row r="345" spans="2:18" x14ac:dyDescent="0.3">
      <c r="B345" s="1">
        <v>60003</v>
      </c>
      <c r="C345" s="7" t="s">
        <v>683</v>
      </c>
      <c r="E345" s="1">
        <v>3</v>
      </c>
      <c r="F345" s="4">
        <v>16</v>
      </c>
      <c r="G345" s="10">
        <v>5</v>
      </c>
      <c r="H345" s="10">
        <v>1</v>
      </c>
      <c r="J345" s="15" t="s">
        <v>689</v>
      </c>
      <c r="L345" s="4">
        <f t="shared" si="48"/>
        <v>60003</v>
      </c>
      <c r="M345" s="4">
        <v>0</v>
      </c>
      <c r="N345" s="4">
        <f t="shared" si="47"/>
        <v>60003</v>
      </c>
      <c r="O345" s="4">
        <v>1</v>
      </c>
      <c r="P345" s="4">
        <v>0</v>
      </c>
      <c r="Q345" s="4">
        <v>0</v>
      </c>
      <c r="R345" s="7" t="str">
        <f>"&lt;color=#"&amp;VLOOKUP(E345,[1]品质主表!$B$6:$C$13,2,FALSE)&amp;"&gt;"&amp;C345&amp;"&lt;/color&gt;"</f>
        <v>&lt;color=#f044dc&gt;玄铁灵爪&lt;/color&gt;</v>
      </c>
    </row>
    <row r="346" spans="2:18" x14ac:dyDescent="0.3">
      <c r="B346" s="1">
        <v>60004</v>
      </c>
      <c r="C346" s="7" t="s">
        <v>683</v>
      </c>
      <c r="E346" s="1">
        <v>4</v>
      </c>
      <c r="F346" s="4">
        <v>16</v>
      </c>
      <c r="G346" s="10">
        <v>5</v>
      </c>
      <c r="H346" s="10">
        <v>1</v>
      </c>
      <c r="J346" s="15" t="s">
        <v>690</v>
      </c>
      <c r="L346" s="4">
        <f t="shared" si="48"/>
        <v>60004</v>
      </c>
      <c r="M346" s="4">
        <v>0</v>
      </c>
      <c r="N346" s="4">
        <f t="shared" si="47"/>
        <v>60004</v>
      </c>
      <c r="O346" s="4">
        <v>1</v>
      </c>
      <c r="P346" s="4">
        <v>0</v>
      </c>
      <c r="Q346" s="4">
        <v>0</v>
      </c>
      <c r="R346" s="7" t="str">
        <f>"&lt;color=#"&amp;VLOOKUP(E346,[1]品质主表!$B$6:$C$13,2,FALSE)&amp;"&gt;"&amp;C346&amp;"&lt;/color&gt;"</f>
        <v>&lt;color=#edde00&gt;玄铁灵爪&lt;/color&gt;</v>
      </c>
    </row>
    <row r="347" spans="2:18" x14ac:dyDescent="0.3">
      <c r="B347" s="1">
        <v>60005</v>
      </c>
      <c r="C347" s="7" t="s">
        <v>683</v>
      </c>
      <c r="E347" s="1">
        <v>5</v>
      </c>
      <c r="F347" s="4">
        <v>16</v>
      </c>
      <c r="G347" s="10">
        <v>5</v>
      </c>
      <c r="H347" s="10">
        <v>1</v>
      </c>
      <c r="J347" s="15" t="s">
        <v>691</v>
      </c>
      <c r="L347" s="4">
        <f t="shared" si="48"/>
        <v>60005</v>
      </c>
      <c r="M347" s="4">
        <v>0</v>
      </c>
      <c r="N347" s="4">
        <f t="shared" si="47"/>
        <v>60005</v>
      </c>
      <c r="O347" s="4">
        <v>1</v>
      </c>
      <c r="P347" s="4">
        <v>0</v>
      </c>
      <c r="Q347" s="4">
        <v>0</v>
      </c>
      <c r="R347" s="7" t="str">
        <f>"&lt;color=#"&amp;VLOOKUP(E347,[1]品质主表!$B$6:$C$13,2,FALSE)&amp;"&gt;"&amp;C347&amp;"&lt;/color&gt;"</f>
        <v>&lt;color=#ff8000&gt;玄铁灵爪&lt;/color&gt;</v>
      </c>
    </row>
    <row r="348" spans="2:18" x14ac:dyDescent="0.3">
      <c r="B348" s="1">
        <v>60006</v>
      </c>
      <c r="C348" s="7" t="s">
        <v>683</v>
      </c>
      <c r="E348" s="1">
        <v>6</v>
      </c>
      <c r="F348" s="4">
        <v>16</v>
      </c>
      <c r="G348" s="10">
        <v>5</v>
      </c>
      <c r="H348" s="10">
        <v>1</v>
      </c>
      <c r="J348" s="15" t="s">
        <v>692</v>
      </c>
      <c r="L348" s="4">
        <f t="shared" si="48"/>
        <v>60006</v>
      </c>
      <c r="M348" s="4">
        <v>0</v>
      </c>
      <c r="N348" s="4">
        <f t="shared" si="47"/>
        <v>60006</v>
      </c>
      <c r="O348" s="4">
        <v>1</v>
      </c>
      <c r="P348" s="4">
        <v>0</v>
      </c>
      <c r="Q348" s="4">
        <v>0</v>
      </c>
      <c r="R348" s="7" t="str">
        <f>"&lt;color=#"&amp;VLOOKUP(E348,[1]品质主表!$B$6:$C$13,2,FALSE)&amp;"&gt;"&amp;C348&amp;"&lt;/color&gt;"</f>
        <v>&lt;color=#ff4d4d&gt;玄铁灵爪&lt;/color&gt;</v>
      </c>
    </row>
    <row r="349" spans="2:18" x14ac:dyDescent="0.3">
      <c r="B349" s="1">
        <v>60007</v>
      </c>
      <c r="C349" s="7" t="s">
        <v>683</v>
      </c>
      <c r="E349" s="1">
        <v>7</v>
      </c>
      <c r="F349" s="4">
        <v>16</v>
      </c>
      <c r="G349" s="10">
        <v>5</v>
      </c>
      <c r="H349" s="10">
        <v>1</v>
      </c>
      <c r="J349" s="15" t="s">
        <v>693</v>
      </c>
      <c r="L349" s="4">
        <f t="shared" si="48"/>
        <v>60007</v>
      </c>
      <c r="M349" s="4">
        <v>0</v>
      </c>
      <c r="N349" s="4">
        <f t="shared" si="47"/>
        <v>60007</v>
      </c>
      <c r="O349" s="4">
        <v>1</v>
      </c>
      <c r="P349" s="4">
        <v>0</v>
      </c>
      <c r="Q349" s="4">
        <v>0</v>
      </c>
      <c r="R349" s="7" t="str">
        <f>"&lt;color=#"&amp;VLOOKUP(E349,[1]品质主表!$B$6:$C$13,2,FALSE)&amp;"&gt;"&amp;C349&amp;"&lt;/color&gt;"</f>
        <v>&lt;color=#ff779d&gt;玄铁灵爪&lt;/color&gt;</v>
      </c>
    </row>
    <row r="350" spans="2:18" x14ac:dyDescent="0.3">
      <c r="B350" s="1">
        <v>60008</v>
      </c>
      <c r="C350" s="7" t="s">
        <v>683</v>
      </c>
      <c r="E350" s="1">
        <v>7</v>
      </c>
      <c r="F350" s="4">
        <v>16</v>
      </c>
      <c r="G350" s="10">
        <v>5</v>
      </c>
      <c r="H350" s="10">
        <v>1</v>
      </c>
      <c r="J350" s="15" t="s">
        <v>694</v>
      </c>
      <c r="L350" s="4">
        <f t="shared" si="48"/>
        <v>60008</v>
      </c>
      <c r="M350" s="4">
        <v>0</v>
      </c>
      <c r="N350" s="4">
        <f t="shared" si="47"/>
        <v>60008</v>
      </c>
      <c r="O350" s="4">
        <v>1</v>
      </c>
      <c r="P350" s="4">
        <v>0</v>
      </c>
      <c r="Q350" s="4">
        <v>0</v>
      </c>
      <c r="R350" s="7" t="str">
        <f>"&lt;color=#"&amp;VLOOKUP(E350,[1]品质主表!$B$6:$C$13,2,FALSE)&amp;"&gt;"&amp;C350&amp;"&lt;/color&gt;"</f>
        <v>&lt;color=#ff779d&gt;玄铁灵爪&lt;/color&gt;</v>
      </c>
    </row>
    <row r="351" spans="2:18" x14ac:dyDescent="0.3">
      <c r="B351" s="1">
        <v>60009</v>
      </c>
      <c r="C351" s="7" t="s">
        <v>683</v>
      </c>
      <c r="E351" s="1">
        <v>7</v>
      </c>
      <c r="F351" s="4">
        <v>16</v>
      </c>
      <c r="G351" s="10">
        <v>5</v>
      </c>
      <c r="H351" s="10">
        <v>1</v>
      </c>
      <c r="J351" s="15" t="s">
        <v>695</v>
      </c>
      <c r="L351" s="4">
        <f t="shared" si="48"/>
        <v>60009</v>
      </c>
      <c r="M351" s="4">
        <v>0</v>
      </c>
      <c r="N351" s="4">
        <f t="shared" si="47"/>
        <v>60009</v>
      </c>
      <c r="O351" s="4">
        <v>1</v>
      </c>
      <c r="P351" s="4">
        <v>0</v>
      </c>
      <c r="Q351" s="4">
        <v>0</v>
      </c>
      <c r="R351" s="7" t="str">
        <f>"&lt;color=#"&amp;VLOOKUP(E351,[1]品质主表!$B$6:$C$13,2,FALSE)&amp;"&gt;"&amp;C351&amp;"&lt;/color&gt;"</f>
        <v>&lt;color=#ff779d&gt;玄铁灵爪&lt;/color&gt;</v>
      </c>
    </row>
    <row r="352" spans="2:18" x14ac:dyDescent="0.3">
      <c r="B352" s="1">
        <v>60010</v>
      </c>
      <c r="C352" s="7" t="s">
        <v>683</v>
      </c>
      <c r="E352" s="1">
        <v>7</v>
      </c>
      <c r="F352" s="4">
        <v>16</v>
      </c>
      <c r="G352" s="10">
        <v>5</v>
      </c>
      <c r="H352" s="10">
        <v>1</v>
      </c>
      <c r="J352" s="15" t="s">
        <v>696</v>
      </c>
      <c r="L352" s="4">
        <f t="shared" si="48"/>
        <v>60010</v>
      </c>
      <c r="M352" s="4">
        <v>0</v>
      </c>
      <c r="N352" s="4">
        <f t="shared" si="47"/>
        <v>60010</v>
      </c>
      <c r="O352" s="4">
        <v>1</v>
      </c>
      <c r="P352" s="4">
        <v>0</v>
      </c>
      <c r="Q352" s="4">
        <v>0</v>
      </c>
      <c r="R352" s="7" t="str">
        <f>"&lt;color=#"&amp;VLOOKUP(E352,[1]品质主表!$B$6:$C$13,2,FALSE)&amp;"&gt;"&amp;C352&amp;"&lt;/color&gt;"</f>
        <v>&lt;color=#ff779d&gt;玄铁灵爪&lt;/color&gt;</v>
      </c>
    </row>
    <row r="353" spans="2:18" x14ac:dyDescent="0.3">
      <c r="B353" s="1">
        <v>60011</v>
      </c>
      <c r="C353" s="7" t="s">
        <v>683</v>
      </c>
      <c r="E353" s="1">
        <v>7</v>
      </c>
      <c r="F353" s="4">
        <v>16</v>
      </c>
      <c r="G353" s="10">
        <v>5</v>
      </c>
      <c r="H353" s="10">
        <v>1</v>
      </c>
      <c r="J353" s="15" t="s">
        <v>697</v>
      </c>
      <c r="L353" s="4">
        <f t="shared" si="48"/>
        <v>60011</v>
      </c>
      <c r="M353" s="4">
        <v>0</v>
      </c>
      <c r="N353" s="4">
        <f t="shared" si="47"/>
        <v>60011</v>
      </c>
      <c r="O353" s="4">
        <v>1</v>
      </c>
      <c r="P353" s="4">
        <v>0</v>
      </c>
      <c r="Q353" s="4">
        <v>0</v>
      </c>
      <c r="R353" s="7" t="str">
        <f>"&lt;color=#"&amp;VLOOKUP(E353,[1]品质主表!$B$6:$C$13,2,FALSE)&amp;"&gt;"&amp;C353&amp;"&lt;/color&gt;"</f>
        <v>&lt;color=#ff779d&gt;玄铁灵爪&lt;/color&gt;</v>
      </c>
    </row>
    <row r="354" spans="2:18" x14ac:dyDescent="0.3">
      <c r="B354" s="1">
        <v>60012</v>
      </c>
      <c r="C354" s="7" t="s">
        <v>683</v>
      </c>
      <c r="E354" s="1">
        <v>7</v>
      </c>
      <c r="F354" s="4">
        <v>16</v>
      </c>
      <c r="G354" s="10">
        <v>5</v>
      </c>
      <c r="H354" s="10">
        <v>1</v>
      </c>
      <c r="J354" s="15" t="s">
        <v>698</v>
      </c>
      <c r="L354" s="4">
        <f t="shared" si="48"/>
        <v>60012</v>
      </c>
      <c r="M354" s="4">
        <v>0</v>
      </c>
      <c r="N354" s="4">
        <f t="shared" si="47"/>
        <v>60012</v>
      </c>
      <c r="O354" s="4">
        <v>1</v>
      </c>
      <c r="P354" s="4">
        <v>0</v>
      </c>
      <c r="Q354" s="4">
        <v>0</v>
      </c>
      <c r="R354" s="7" t="str">
        <f>"&lt;color=#"&amp;VLOOKUP(E354,[1]品质主表!$B$6:$C$13,2,FALSE)&amp;"&gt;"&amp;C354&amp;"&lt;/color&gt;"</f>
        <v>&lt;color=#ff779d&gt;玄铁灵爪&lt;/color&gt;</v>
      </c>
    </row>
    <row r="355" spans="2:18" x14ac:dyDescent="0.3">
      <c r="B355" s="1">
        <v>61001</v>
      </c>
      <c r="C355" s="7" t="s">
        <v>684</v>
      </c>
      <c r="E355" s="1">
        <v>1</v>
      </c>
      <c r="F355" s="4">
        <v>16</v>
      </c>
      <c r="G355" s="10">
        <v>5</v>
      </c>
      <c r="H355" s="10">
        <v>1</v>
      </c>
      <c r="J355" s="15" t="s">
        <v>699</v>
      </c>
      <c r="L355" s="4">
        <f t="shared" si="48"/>
        <v>61001</v>
      </c>
      <c r="M355" s="4">
        <v>0</v>
      </c>
      <c r="N355" s="4">
        <f t="shared" si="47"/>
        <v>61001</v>
      </c>
      <c r="O355" s="4">
        <v>1</v>
      </c>
      <c r="P355" s="4">
        <v>0</v>
      </c>
      <c r="Q355" s="4">
        <v>0</v>
      </c>
      <c r="R355" s="7" t="str">
        <f>"&lt;color=#"&amp;VLOOKUP(E355,[1]品质主表!$B$6:$C$13,2,FALSE)&amp;"&gt;"&amp;C355&amp;"&lt;/color&gt;"</f>
        <v>&lt;color=#18e71a&gt;仙灵宝珠&lt;/color&gt;</v>
      </c>
    </row>
    <row r="356" spans="2:18" x14ac:dyDescent="0.3">
      <c r="B356" s="1">
        <v>61002</v>
      </c>
      <c r="C356" s="7" t="s">
        <v>684</v>
      </c>
      <c r="E356" s="1">
        <v>2</v>
      </c>
      <c r="F356" s="4">
        <v>16</v>
      </c>
      <c r="G356" s="10">
        <v>5</v>
      </c>
      <c r="H356" s="10">
        <v>1</v>
      </c>
      <c r="J356" s="15" t="s">
        <v>700</v>
      </c>
      <c r="L356" s="4">
        <f t="shared" si="48"/>
        <v>61002</v>
      </c>
      <c r="M356" s="4">
        <v>0</v>
      </c>
      <c r="N356" s="4">
        <f t="shared" si="47"/>
        <v>61002</v>
      </c>
      <c r="O356" s="4">
        <v>1</v>
      </c>
      <c r="P356" s="4">
        <v>0</v>
      </c>
      <c r="Q356" s="4">
        <v>0</v>
      </c>
      <c r="R356" s="7" t="str">
        <f>"&lt;color=#"&amp;VLOOKUP(E356,[1]品质主表!$B$6:$C$13,2,FALSE)&amp;"&gt;"&amp;C356&amp;"&lt;/color&gt;"</f>
        <v>&lt;color=#40f3ff&gt;仙灵宝珠&lt;/color&gt;</v>
      </c>
    </row>
    <row r="357" spans="2:18" x14ac:dyDescent="0.3">
      <c r="B357" s="1">
        <v>61003</v>
      </c>
      <c r="C357" s="7" t="s">
        <v>684</v>
      </c>
      <c r="E357" s="1">
        <v>3</v>
      </c>
      <c r="F357" s="4">
        <v>16</v>
      </c>
      <c r="G357" s="10">
        <v>5</v>
      </c>
      <c r="H357" s="10">
        <v>1</v>
      </c>
      <c r="J357" s="15" t="s">
        <v>701</v>
      </c>
      <c r="L357" s="4">
        <f t="shared" si="48"/>
        <v>61003</v>
      </c>
      <c r="M357" s="4">
        <v>0</v>
      </c>
      <c r="N357" s="4">
        <f t="shared" si="47"/>
        <v>61003</v>
      </c>
      <c r="O357" s="4">
        <v>1</v>
      </c>
      <c r="P357" s="4">
        <v>0</v>
      </c>
      <c r="Q357" s="4">
        <v>0</v>
      </c>
      <c r="R357" s="7" t="str">
        <f>"&lt;color=#"&amp;VLOOKUP(E357,[1]品质主表!$B$6:$C$13,2,FALSE)&amp;"&gt;"&amp;C357&amp;"&lt;/color&gt;"</f>
        <v>&lt;color=#f044dc&gt;仙灵宝珠&lt;/color&gt;</v>
      </c>
    </row>
    <row r="358" spans="2:18" x14ac:dyDescent="0.3">
      <c r="B358" s="1">
        <v>61004</v>
      </c>
      <c r="C358" s="7" t="s">
        <v>684</v>
      </c>
      <c r="E358" s="1">
        <v>4</v>
      </c>
      <c r="F358" s="4">
        <v>16</v>
      </c>
      <c r="G358" s="10">
        <v>5</v>
      </c>
      <c r="H358" s="10">
        <v>1</v>
      </c>
      <c r="J358" s="15" t="s">
        <v>702</v>
      </c>
      <c r="L358" s="4">
        <f t="shared" si="48"/>
        <v>61004</v>
      </c>
      <c r="M358" s="4">
        <v>0</v>
      </c>
      <c r="N358" s="4">
        <f t="shared" si="47"/>
        <v>61004</v>
      </c>
      <c r="O358" s="4">
        <v>1</v>
      </c>
      <c r="P358" s="4">
        <v>0</v>
      </c>
      <c r="Q358" s="4">
        <v>0</v>
      </c>
      <c r="R358" s="7" t="str">
        <f>"&lt;color=#"&amp;VLOOKUP(E358,[1]品质主表!$B$6:$C$13,2,FALSE)&amp;"&gt;"&amp;C358&amp;"&lt;/color&gt;"</f>
        <v>&lt;color=#edde00&gt;仙灵宝珠&lt;/color&gt;</v>
      </c>
    </row>
    <row r="359" spans="2:18" x14ac:dyDescent="0.3">
      <c r="B359" s="1">
        <v>61005</v>
      </c>
      <c r="C359" s="7" t="s">
        <v>684</v>
      </c>
      <c r="E359" s="1">
        <v>5</v>
      </c>
      <c r="F359" s="4">
        <v>16</v>
      </c>
      <c r="G359" s="10">
        <v>5</v>
      </c>
      <c r="H359" s="10">
        <v>1</v>
      </c>
      <c r="J359" s="15" t="s">
        <v>703</v>
      </c>
      <c r="L359" s="4">
        <f t="shared" si="48"/>
        <v>61005</v>
      </c>
      <c r="M359" s="4">
        <v>0</v>
      </c>
      <c r="N359" s="4">
        <f t="shared" si="47"/>
        <v>61005</v>
      </c>
      <c r="O359" s="4">
        <v>1</v>
      </c>
      <c r="P359" s="4">
        <v>0</v>
      </c>
      <c r="Q359" s="4">
        <v>0</v>
      </c>
      <c r="R359" s="7" t="str">
        <f>"&lt;color=#"&amp;VLOOKUP(E359,[1]品质主表!$B$6:$C$13,2,FALSE)&amp;"&gt;"&amp;C359&amp;"&lt;/color&gt;"</f>
        <v>&lt;color=#ff8000&gt;仙灵宝珠&lt;/color&gt;</v>
      </c>
    </row>
    <row r="360" spans="2:18" x14ac:dyDescent="0.3">
      <c r="B360" s="1">
        <v>61006</v>
      </c>
      <c r="C360" s="7" t="s">
        <v>684</v>
      </c>
      <c r="E360" s="1">
        <v>6</v>
      </c>
      <c r="F360" s="4">
        <v>16</v>
      </c>
      <c r="G360" s="10">
        <v>5</v>
      </c>
      <c r="H360" s="10">
        <v>1</v>
      </c>
      <c r="J360" s="15" t="s">
        <v>704</v>
      </c>
      <c r="L360" s="4">
        <f t="shared" si="48"/>
        <v>61006</v>
      </c>
      <c r="M360" s="4">
        <v>0</v>
      </c>
      <c r="N360" s="4">
        <f t="shared" si="47"/>
        <v>61006</v>
      </c>
      <c r="O360" s="4">
        <v>1</v>
      </c>
      <c r="P360" s="4">
        <v>0</v>
      </c>
      <c r="Q360" s="4">
        <v>0</v>
      </c>
      <c r="R360" s="7" t="str">
        <f>"&lt;color=#"&amp;VLOOKUP(E360,[1]品质主表!$B$6:$C$13,2,FALSE)&amp;"&gt;"&amp;C360&amp;"&lt;/color&gt;"</f>
        <v>&lt;color=#ff4d4d&gt;仙灵宝珠&lt;/color&gt;</v>
      </c>
    </row>
    <row r="361" spans="2:18" x14ac:dyDescent="0.3">
      <c r="B361" s="1">
        <v>61007</v>
      </c>
      <c r="C361" s="7" t="s">
        <v>684</v>
      </c>
      <c r="E361" s="1">
        <v>7</v>
      </c>
      <c r="F361" s="4">
        <v>16</v>
      </c>
      <c r="G361" s="10">
        <v>5</v>
      </c>
      <c r="H361" s="10">
        <v>1</v>
      </c>
      <c r="J361" s="15" t="s">
        <v>705</v>
      </c>
      <c r="L361" s="4">
        <f t="shared" si="48"/>
        <v>61007</v>
      </c>
      <c r="M361" s="4">
        <v>0</v>
      </c>
      <c r="N361" s="4">
        <f t="shared" si="47"/>
        <v>61007</v>
      </c>
      <c r="O361" s="4">
        <v>1</v>
      </c>
      <c r="P361" s="4">
        <v>0</v>
      </c>
      <c r="Q361" s="4">
        <v>0</v>
      </c>
      <c r="R361" s="7" t="str">
        <f>"&lt;color=#"&amp;VLOOKUP(E361,[1]品质主表!$B$6:$C$13,2,FALSE)&amp;"&gt;"&amp;C361&amp;"&lt;/color&gt;"</f>
        <v>&lt;color=#ff779d&gt;仙灵宝珠&lt;/color&gt;</v>
      </c>
    </row>
    <row r="362" spans="2:18" x14ac:dyDescent="0.3">
      <c r="B362" s="1">
        <v>61008</v>
      </c>
      <c r="C362" s="7" t="s">
        <v>684</v>
      </c>
      <c r="E362" s="1">
        <v>7</v>
      </c>
      <c r="F362" s="4">
        <v>16</v>
      </c>
      <c r="G362" s="10">
        <v>5</v>
      </c>
      <c r="H362" s="10">
        <v>1</v>
      </c>
      <c r="J362" s="15" t="s">
        <v>706</v>
      </c>
      <c r="L362" s="4">
        <f t="shared" si="48"/>
        <v>61008</v>
      </c>
      <c r="M362" s="4">
        <v>0</v>
      </c>
      <c r="N362" s="4">
        <f t="shared" si="47"/>
        <v>61008</v>
      </c>
      <c r="O362" s="4">
        <v>1</v>
      </c>
      <c r="P362" s="4">
        <v>0</v>
      </c>
      <c r="Q362" s="4">
        <v>0</v>
      </c>
      <c r="R362" s="7" t="str">
        <f>"&lt;color=#"&amp;VLOOKUP(E362,[1]品质主表!$B$6:$C$13,2,FALSE)&amp;"&gt;"&amp;C362&amp;"&lt;/color&gt;"</f>
        <v>&lt;color=#ff779d&gt;仙灵宝珠&lt;/color&gt;</v>
      </c>
    </row>
    <row r="363" spans="2:18" x14ac:dyDescent="0.3">
      <c r="B363" s="1">
        <v>61009</v>
      </c>
      <c r="C363" s="7" t="s">
        <v>684</v>
      </c>
      <c r="E363" s="1">
        <v>7</v>
      </c>
      <c r="F363" s="4">
        <v>16</v>
      </c>
      <c r="G363" s="10">
        <v>5</v>
      </c>
      <c r="H363" s="10">
        <v>1</v>
      </c>
      <c r="J363" s="15" t="s">
        <v>707</v>
      </c>
      <c r="L363" s="4">
        <f t="shared" si="48"/>
        <v>61009</v>
      </c>
      <c r="M363" s="4">
        <v>0</v>
      </c>
      <c r="N363" s="4">
        <f t="shared" si="47"/>
        <v>61009</v>
      </c>
      <c r="O363" s="4">
        <v>1</v>
      </c>
      <c r="P363" s="4">
        <v>0</v>
      </c>
      <c r="Q363" s="4">
        <v>0</v>
      </c>
      <c r="R363" s="7" t="str">
        <f>"&lt;color=#"&amp;VLOOKUP(E363,[1]品质主表!$B$6:$C$13,2,FALSE)&amp;"&gt;"&amp;C363&amp;"&lt;/color&gt;"</f>
        <v>&lt;color=#ff779d&gt;仙灵宝珠&lt;/color&gt;</v>
      </c>
    </row>
    <row r="364" spans="2:18" x14ac:dyDescent="0.3">
      <c r="B364" s="1">
        <v>61010</v>
      </c>
      <c r="C364" s="7" t="s">
        <v>684</v>
      </c>
      <c r="E364" s="1">
        <v>7</v>
      </c>
      <c r="F364" s="4">
        <v>16</v>
      </c>
      <c r="G364" s="10">
        <v>5</v>
      </c>
      <c r="H364" s="10">
        <v>1</v>
      </c>
      <c r="J364" s="15" t="s">
        <v>708</v>
      </c>
      <c r="L364" s="4">
        <f t="shared" si="48"/>
        <v>61010</v>
      </c>
      <c r="M364" s="4">
        <v>0</v>
      </c>
      <c r="N364" s="4">
        <f t="shared" si="47"/>
        <v>61010</v>
      </c>
      <c r="O364" s="4">
        <v>1</v>
      </c>
      <c r="P364" s="4">
        <v>0</v>
      </c>
      <c r="Q364" s="4">
        <v>0</v>
      </c>
      <c r="R364" s="7" t="str">
        <f>"&lt;color=#"&amp;VLOOKUP(E364,[1]品质主表!$B$6:$C$13,2,FALSE)&amp;"&gt;"&amp;C364&amp;"&lt;/color&gt;"</f>
        <v>&lt;color=#ff779d&gt;仙灵宝珠&lt;/color&gt;</v>
      </c>
    </row>
    <row r="365" spans="2:18" x14ac:dyDescent="0.3">
      <c r="B365" s="1">
        <v>61011</v>
      </c>
      <c r="C365" s="7" t="s">
        <v>684</v>
      </c>
      <c r="E365" s="1">
        <v>7</v>
      </c>
      <c r="F365" s="4">
        <v>16</v>
      </c>
      <c r="G365" s="10">
        <v>5</v>
      </c>
      <c r="H365" s="10">
        <v>1</v>
      </c>
      <c r="J365" s="15" t="s">
        <v>709</v>
      </c>
      <c r="L365" s="4">
        <f t="shared" si="48"/>
        <v>61011</v>
      </c>
      <c r="M365" s="4">
        <v>0</v>
      </c>
      <c r="N365" s="4">
        <f t="shared" si="47"/>
        <v>61011</v>
      </c>
      <c r="O365" s="4">
        <v>1</v>
      </c>
      <c r="P365" s="4">
        <v>0</v>
      </c>
      <c r="Q365" s="4">
        <v>0</v>
      </c>
      <c r="R365" s="7" t="str">
        <f>"&lt;color=#"&amp;VLOOKUP(E365,[1]品质主表!$B$6:$C$13,2,FALSE)&amp;"&gt;"&amp;C365&amp;"&lt;/color&gt;"</f>
        <v>&lt;color=#ff779d&gt;仙灵宝珠&lt;/color&gt;</v>
      </c>
    </row>
    <row r="366" spans="2:18" x14ac:dyDescent="0.3">
      <c r="B366" s="1">
        <v>61012</v>
      </c>
      <c r="C366" s="7" t="s">
        <v>684</v>
      </c>
      <c r="E366" s="1">
        <v>7</v>
      </c>
      <c r="F366" s="4">
        <v>16</v>
      </c>
      <c r="G366" s="10">
        <v>5</v>
      </c>
      <c r="H366" s="10">
        <v>1</v>
      </c>
      <c r="J366" s="15" t="s">
        <v>710</v>
      </c>
      <c r="L366" s="4">
        <f t="shared" si="48"/>
        <v>61012</v>
      </c>
      <c r="M366" s="4">
        <v>0</v>
      </c>
      <c r="N366" s="4">
        <f t="shared" si="47"/>
        <v>61012</v>
      </c>
      <c r="O366" s="4">
        <v>1</v>
      </c>
      <c r="P366" s="4">
        <v>0</v>
      </c>
      <c r="Q366" s="4">
        <v>0</v>
      </c>
      <c r="R366" s="7" t="str">
        <f>"&lt;color=#"&amp;VLOOKUP(E366,[1]品质主表!$B$6:$C$13,2,FALSE)&amp;"&gt;"&amp;C366&amp;"&lt;/color&gt;"</f>
        <v>&lt;color=#ff779d&gt;仙灵宝珠&lt;/color&gt;</v>
      </c>
    </row>
    <row r="367" spans="2:18" x14ac:dyDescent="0.3">
      <c r="B367" s="1">
        <v>62001</v>
      </c>
      <c r="C367" s="7" t="s">
        <v>685</v>
      </c>
      <c r="E367" s="1">
        <v>1</v>
      </c>
      <c r="F367" s="4">
        <v>16</v>
      </c>
      <c r="G367" s="10">
        <v>5</v>
      </c>
      <c r="H367" s="10">
        <v>1</v>
      </c>
      <c r="J367" s="15" t="s">
        <v>711</v>
      </c>
      <c r="L367" s="4">
        <f t="shared" si="48"/>
        <v>62001</v>
      </c>
      <c r="M367" s="4">
        <v>0</v>
      </c>
      <c r="N367" s="4">
        <f t="shared" ref="N367:N390" si="49">L367</f>
        <v>62001</v>
      </c>
      <c r="O367" s="4">
        <v>1</v>
      </c>
      <c r="P367" s="4">
        <v>0</v>
      </c>
      <c r="Q367" s="4">
        <v>0</v>
      </c>
      <c r="R367" s="7" t="str">
        <f>"&lt;color=#"&amp;VLOOKUP(E367,[1]品质主表!$B$6:$C$13,2,FALSE)&amp;"&gt;"&amp;C367&amp;"&lt;/color&gt;"</f>
        <v>&lt;color=#18e71a&gt;灵光护甲&lt;/color&gt;</v>
      </c>
    </row>
    <row r="368" spans="2:18" x14ac:dyDescent="0.3">
      <c r="B368" s="1">
        <v>62002</v>
      </c>
      <c r="C368" s="7" t="s">
        <v>685</v>
      </c>
      <c r="E368" s="1">
        <v>2</v>
      </c>
      <c r="F368" s="4">
        <v>16</v>
      </c>
      <c r="G368" s="10">
        <v>5</v>
      </c>
      <c r="H368" s="10">
        <v>1</v>
      </c>
      <c r="J368" s="15" t="s">
        <v>712</v>
      </c>
      <c r="L368" s="4">
        <f t="shared" si="48"/>
        <v>62002</v>
      </c>
      <c r="M368" s="4">
        <v>0</v>
      </c>
      <c r="N368" s="4">
        <f t="shared" si="49"/>
        <v>62002</v>
      </c>
      <c r="O368" s="4">
        <v>1</v>
      </c>
      <c r="P368" s="4">
        <v>0</v>
      </c>
      <c r="Q368" s="4">
        <v>0</v>
      </c>
      <c r="R368" s="7" t="str">
        <f>"&lt;color=#"&amp;VLOOKUP(E368,[1]品质主表!$B$6:$C$13,2,FALSE)&amp;"&gt;"&amp;C368&amp;"&lt;/color&gt;"</f>
        <v>&lt;color=#40f3ff&gt;灵光护甲&lt;/color&gt;</v>
      </c>
    </row>
    <row r="369" spans="2:18" x14ac:dyDescent="0.3">
      <c r="B369" s="1">
        <v>62003</v>
      </c>
      <c r="C369" s="7" t="s">
        <v>685</v>
      </c>
      <c r="E369" s="1">
        <v>3</v>
      </c>
      <c r="F369" s="4">
        <v>16</v>
      </c>
      <c r="G369" s="10">
        <v>5</v>
      </c>
      <c r="H369" s="10">
        <v>1</v>
      </c>
      <c r="J369" s="15" t="s">
        <v>713</v>
      </c>
      <c r="L369" s="4">
        <f t="shared" si="48"/>
        <v>62003</v>
      </c>
      <c r="M369" s="4">
        <v>0</v>
      </c>
      <c r="N369" s="4">
        <f t="shared" si="49"/>
        <v>62003</v>
      </c>
      <c r="O369" s="4">
        <v>1</v>
      </c>
      <c r="P369" s="4">
        <v>0</v>
      </c>
      <c r="Q369" s="4">
        <v>0</v>
      </c>
      <c r="R369" s="7" t="str">
        <f>"&lt;color=#"&amp;VLOOKUP(E369,[1]品质主表!$B$6:$C$13,2,FALSE)&amp;"&gt;"&amp;C369&amp;"&lt;/color&gt;"</f>
        <v>&lt;color=#f044dc&gt;灵光护甲&lt;/color&gt;</v>
      </c>
    </row>
    <row r="370" spans="2:18" x14ac:dyDescent="0.3">
      <c r="B370" s="1">
        <v>62004</v>
      </c>
      <c r="C370" s="7" t="s">
        <v>685</v>
      </c>
      <c r="E370" s="1">
        <v>4</v>
      </c>
      <c r="F370" s="4">
        <v>16</v>
      </c>
      <c r="G370" s="10">
        <v>5</v>
      </c>
      <c r="H370" s="10">
        <v>1</v>
      </c>
      <c r="J370" s="15" t="s">
        <v>714</v>
      </c>
      <c r="L370" s="4">
        <f t="shared" si="48"/>
        <v>62004</v>
      </c>
      <c r="M370" s="4">
        <v>0</v>
      </c>
      <c r="N370" s="4">
        <f t="shared" si="49"/>
        <v>62004</v>
      </c>
      <c r="O370" s="4">
        <v>1</v>
      </c>
      <c r="P370" s="4">
        <v>0</v>
      </c>
      <c r="Q370" s="4">
        <v>0</v>
      </c>
      <c r="R370" s="7" t="str">
        <f>"&lt;color=#"&amp;VLOOKUP(E370,[1]品质主表!$B$6:$C$13,2,FALSE)&amp;"&gt;"&amp;C370&amp;"&lt;/color&gt;"</f>
        <v>&lt;color=#edde00&gt;灵光护甲&lt;/color&gt;</v>
      </c>
    </row>
    <row r="371" spans="2:18" x14ac:dyDescent="0.3">
      <c r="B371" s="1">
        <v>62005</v>
      </c>
      <c r="C371" s="7" t="s">
        <v>685</v>
      </c>
      <c r="E371" s="1">
        <v>5</v>
      </c>
      <c r="F371" s="4">
        <v>16</v>
      </c>
      <c r="G371" s="10">
        <v>5</v>
      </c>
      <c r="H371" s="10">
        <v>1</v>
      </c>
      <c r="J371" s="15" t="s">
        <v>715</v>
      </c>
      <c r="L371" s="4">
        <f t="shared" ref="L371:L390" si="50">B371</f>
        <v>62005</v>
      </c>
      <c r="M371" s="4">
        <v>0</v>
      </c>
      <c r="N371" s="4">
        <f t="shared" si="49"/>
        <v>62005</v>
      </c>
      <c r="O371" s="4">
        <v>1</v>
      </c>
      <c r="P371" s="4">
        <v>0</v>
      </c>
      <c r="Q371" s="4">
        <v>0</v>
      </c>
      <c r="R371" s="7" t="str">
        <f>"&lt;color=#"&amp;VLOOKUP(E371,[1]品质主表!$B$6:$C$13,2,FALSE)&amp;"&gt;"&amp;C371&amp;"&lt;/color&gt;"</f>
        <v>&lt;color=#ff8000&gt;灵光护甲&lt;/color&gt;</v>
      </c>
    </row>
    <row r="372" spans="2:18" x14ac:dyDescent="0.3">
      <c r="B372" s="1">
        <v>62006</v>
      </c>
      <c r="C372" s="7" t="s">
        <v>685</v>
      </c>
      <c r="E372" s="1">
        <v>6</v>
      </c>
      <c r="F372" s="4">
        <v>16</v>
      </c>
      <c r="G372" s="10">
        <v>5</v>
      </c>
      <c r="H372" s="10">
        <v>1</v>
      </c>
      <c r="J372" s="15" t="s">
        <v>716</v>
      </c>
      <c r="L372" s="4">
        <f t="shared" si="50"/>
        <v>62006</v>
      </c>
      <c r="M372" s="4">
        <v>0</v>
      </c>
      <c r="N372" s="4">
        <f t="shared" si="49"/>
        <v>62006</v>
      </c>
      <c r="O372" s="4">
        <v>1</v>
      </c>
      <c r="P372" s="4">
        <v>0</v>
      </c>
      <c r="Q372" s="4">
        <v>0</v>
      </c>
      <c r="R372" s="7" t="str">
        <f>"&lt;color=#"&amp;VLOOKUP(E372,[1]品质主表!$B$6:$C$13,2,FALSE)&amp;"&gt;"&amp;C372&amp;"&lt;/color&gt;"</f>
        <v>&lt;color=#ff4d4d&gt;灵光护甲&lt;/color&gt;</v>
      </c>
    </row>
    <row r="373" spans="2:18" x14ac:dyDescent="0.3">
      <c r="B373" s="1">
        <v>62007</v>
      </c>
      <c r="C373" s="7" t="s">
        <v>685</v>
      </c>
      <c r="E373" s="1">
        <v>7</v>
      </c>
      <c r="F373" s="4">
        <v>16</v>
      </c>
      <c r="G373" s="10">
        <v>5</v>
      </c>
      <c r="H373" s="10">
        <v>1</v>
      </c>
      <c r="J373" s="15" t="s">
        <v>717</v>
      </c>
      <c r="L373" s="4">
        <f t="shared" si="50"/>
        <v>62007</v>
      </c>
      <c r="M373" s="4">
        <v>0</v>
      </c>
      <c r="N373" s="4">
        <f t="shared" si="49"/>
        <v>62007</v>
      </c>
      <c r="O373" s="4">
        <v>1</v>
      </c>
      <c r="P373" s="4">
        <v>0</v>
      </c>
      <c r="Q373" s="4">
        <v>0</v>
      </c>
      <c r="R373" s="7" t="str">
        <f>"&lt;color=#"&amp;VLOOKUP(E373,[1]品质主表!$B$6:$C$13,2,FALSE)&amp;"&gt;"&amp;C373&amp;"&lt;/color&gt;"</f>
        <v>&lt;color=#ff779d&gt;灵光护甲&lt;/color&gt;</v>
      </c>
    </row>
    <row r="374" spans="2:18" x14ac:dyDescent="0.3">
      <c r="B374" s="1">
        <v>62008</v>
      </c>
      <c r="C374" s="7" t="s">
        <v>685</v>
      </c>
      <c r="E374" s="1">
        <v>7</v>
      </c>
      <c r="F374" s="4">
        <v>16</v>
      </c>
      <c r="G374" s="10">
        <v>5</v>
      </c>
      <c r="H374" s="10">
        <v>1</v>
      </c>
      <c r="J374" s="15" t="s">
        <v>718</v>
      </c>
      <c r="L374" s="4">
        <f t="shared" si="50"/>
        <v>62008</v>
      </c>
      <c r="M374" s="4">
        <v>0</v>
      </c>
      <c r="N374" s="4">
        <f t="shared" si="49"/>
        <v>62008</v>
      </c>
      <c r="O374" s="4">
        <v>1</v>
      </c>
      <c r="P374" s="4">
        <v>0</v>
      </c>
      <c r="Q374" s="4">
        <v>0</v>
      </c>
      <c r="R374" s="7" t="str">
        <f>"&lt;color=#"&amp;VLOOKUP(E374,[1]品质主表!$B$6:$C$13,2,FALSE)&amp;"&gt;"&amp;C374&amp;"&lt;/color&gt;"</f>
        <v>&lt;color=#ff779d&gt;灵光护甲&lt;/color&gt;</v>
      </c>
    </row>
    <row r="375" spans="2:18" x14ac:dyDescent="0.3">
      <c r="B375" s="1">
        <v>62009</v>
      </c>
      <c r="C375" s="7" t="s">
        <v>685</v>
      </c>
      <c r="E375" s="1">
        <v>7</v>
      </c>
      <c r="F375" s="4">
        <v>16</v>
      </c>
      <c r="G375" s="10">
        <v>5</v>
      </c>
      <c r="H375" s="10">
        <v>1</v>
      </c>
      <c r="J375" s="15" t="s">
        <v>719</v>
      </c>
      <c r="L375" s="4">
        <f t="shared" si="50"/>
        <v>62009</v>
      </c>
      <c r="M375" s="4">
        <v>0</v>
      </c>
      <c r="N375" s="4">
        <f t="shared" si="49"/>
        <v>62009</v>
      </c>
      <c r="O375" s="4">
        <v>1</v>
      </c>
      <c r="P375" s="4">
        <v>0</v>
      </c>
      <c r="Q375" s="4">
        <v>0</v>
      </c>
      <c r="R375" s="7" t="str">
        <f>"&lt;color=#"&amp;VLOOKUP(E375,[1]品质主表!$B$6:$C$13,2,FALSE)&amp;"&gt;"&amp;C375&amp;"&lt;/color&gt;"</f>
        <v>&lt;color=#ff779d&gt;灵光护甲&lt;/color&gt;</v>
      </c>
    </row>
    <row r="376" spans="2:18" x14ac:dyDescent="0.3">
      <c r="B376" s="1">
        <v>62010</v>
      </c>
      <c r="C376" s="7" t="s">
        <v>685</v>
      </c>
      <c r="E376" s="1">
        <v>7</v>
      </c>
      <c r="F376" s="4">
        <v>16</v>
      </c>
      <c r="G376" s="10">
        <v>5</v>
      </c>
      <c r="H376" s="10">
        <v>1</v>
      </c>
      <c r="J376" s="15" t="s">
        <v>720</v>
      </c>
      <c r="L376" s="4">
        <f t="shared" si="50"/>
        <v>62010</v>
      </c>
      <c r="M376" s="4">
        <v>0</v>
      </c>
      <c r="N376" s="4">
        <f t="shared" si="49"/>
        <v>62010</v>
      </c>
      <c r="O376" s="4">
        <v>1</v>
      </c>
      <c r="P376" s="4">
        <v>0</v>
      </c>
      <c r="Q376" s="4">
        <v>0</v>
      </c>
      <c r="R376" s="7" t="str">
        <f>"&lt;color=#"&amp;VLOOKUP(E376,[1]品质主表!$B$6:$C$13,2,FALSE)&amp;"&gt;"&amp;C376&amp;"&lt;/color&gt;"</f>
        <v>&lt;color=#ff779d&gt;灵光护甲&lt;/color&gt;</v>
      </c>
    </row>
    <row r="377" spans="2:18" x14ac:dyDescent="0.3">
      <c r="B377" s="1">
        <v>62011</v>
      </c>
      <c r="C377" s="7" t="s">
        <v>685</v>
      </c>
      <c r="E377" s="1">
        <v>7</v>
      </c>
      <c r="F377" s="4">
        <v>16</v>
      </c>
      <c r="G377" s="10">
        <v>5</v>
      </c>
      <c r="H377" s="10">
        <v>1</v>
      </c>
      <c r="J377" s="15" t="s">
        <v>721</v>
      </c>
      <c r="L377" s="4">
        <f t="shared" si="50"/>
        <v>62011</v>
      </c>
      <c r="M377" s="4">
        <v>0</v>
      </c>
      <c r="N377" s="4">
        <f t="shared" si="49"/>
        <v>62011</v>
      </c>
      <c r="O377" s="4">
        <v>1</v>
      </c>
      <c r="P377" s="4">
        <v>0</v>
      </c>
      <c r="Q377" s="4">
        <v>0</v>
      </c>
      <c r="R377" s="7" t="str">
        <f>"&lt;color=#"&amp;VLOOKUP(E377,[1]品质主表!$B$6:$C$13,2,FALSE)&amp;"&gt;"&amp;C377&amp;"&lt;/color&gt;"</f>
        <v>&lt;color=#ff779d&gt;灵光护甲&lt;/color&gt;</v>
      </c>
    </row>
    <row r="378" spans="2:18" x14ac:dyDescent="0.3">
      <c r="B378" s="1">
        <v>62012</v>
      </c>
      <c r="C378" s="7" t="s">
        <v>685</v>
      </c>
      <c r="E378" s="1">
        <v>7</v>
      </c>
      <c r="F378" s="4">
        <v>16</v>
      </c>
      <c r="G378" s="10">
        <v>5</v>
      </c>
      <c r="H378" s="10">
        <v>1</v>
      </c>
      <c r="J378" s="15" t="s">
        <v>722</v>
      </c>
      <c r="L378" s="4">
        <f t="shared" si="50"/>
        <v>62012</v>
      </c>
      <c r="M378" s="4">
        <v>0</v>
      </c>
      <c r="N378" s="4">
        <f t="shared" si="49"/>
        <v>62012</v>
      </c>
      <c r="O378" s="4">
        <v>1</v>
      </c>
      <c r="P378" s="4">
        <v>0</v>
      </c>
      <c r="Q378" s="4">
        <v>0</v>
      </c>
      <c r="R378" s="7" t="str">
        <f>"&lt;color=#"&amp;VLOOKUP(E378,[1]品质主表!$B$6:$C$13,2,FALSE)&amp;"&gt;"&amp;C378&amp;"&lt;/color&gt;"</f>
        <v>&lt;color=#ff779d&gt;灵光护甲&lt;/color&gt;</v>
      </c>
    </row>
    <row r="379" spans="2:18" x14ac:dyDescent="0.3">
      <c r="B379" s="1">
        <v>63001</v>
      </c>
      <c r="C379" s="7" t="s">
        <v>686</v>
      </c>
      <c r="E379" s="1">
        <v>1</v>
      </c>
      <c r="F379" s="4">
        <v>16</v>
      </c>
      <c r="G379" s="10">
        <v>5</v>
      </c>
      <c r="H379" s="10">
        <v>1</v>
      </c>
      <c r="J379" s="15" t="s">
        <v>723</v>
      </c>
      <c r="L379" s="4">
        <f t="shared" si="50"/>
        <v>63001</v>
      </c>
      <c r="M379" s="4">
        <v>0</v>
      </c>
      <c r="N379" s="4">
        <f t="shared" si="49"/>
        <v>63001</v>
      </c>
      <c r="O379" s="4">
        <v>1</v>
      </c>
      <c r="P379" s="4">
        <v>0</v>
      </c>
      <c r="Q379" s="4">
        <v>0</v>
      </c>
      <c r="R379" s="7" t="str">
        <f>"&lt;color=#"&amp;VLOOKUP(E379,[1]品质主表!$B$6:$C$13,2,FALSE)&amp;"&gt;"&amp;C379&amp;"&lt;/color&gt;"</f>
        <v>&lt;color=#18e71a&gt;御风神环&lt;/color&gt;</v>
      </c>
    </row>
    <row r="380" spans="2:18" x14ac:dyDescent="0.3">
      <c r="B380" s="1">
        <v>63002</v>
      </c>
      <c r="C380" s="7" t="s">
        <v>686</v>
      </c>
      <c r="E380" s="1">
        <v>2</v>
      </c>
      <c r="F380" s="4">
        <v>16</v>
      </c>
      <c r="G380" s="10">
        <v>5</v>
      </c>
      <c r="H380" s="10">
        <v>1</v>
      </c>
      <c r="J380" s="15" t="s">
        <v>724</v>
      </c>
      <c r="L380" s="4">
        <f t="shared" si="50"/>
        <v>63002</v>
      </c>
      <c r="M380" s="4">
        <v>0</v>
      </c>
      <c r="N380" s="4">
        <f t="shared" si="49"/>
        <v>63002</v>
      </c>
      <c r="O380" s="4">
        <v>1</v>
      </c>
      <c r="P380" s="4">
        <v>0</v>
      </c>
      <c r="Q380" s="4">
        <v>0</v>
      </c>
      <c r="R380" s="7" t="str">
        <f>"&lt;color=#"&amp;VLOOKUP(E380,[1]品质主表!$B$6:$C$13,2,FALSE)&amp;"&gt;"&amp;C380&amp;"&lt;/color&gt;"</f>
        <v>&lt;color=#40f3ff&gt;御风神环&lt;/color&gt;</v>
      </c>
    </row>
    <row r="381" spans="2:18" x14ac:dyDescent="0.3">
      <c r="B381" s="1">
        <v>63003</v>
      </c>
      <c r="C381" s="7" t="s">
        <v>686</v>
      </c>
      <c r="E381" s="1">
        <v>3</v>
      </c>
      <c r="F381" s="4">
        <v>16</v>
      </c>
      <c r="G381" s="10">
        <v>5</v>
      </c>
      <c r="H381" s="10">
        <v>1</v>
      </c>
      <c r="J381" s="15" t="s">
        <v>725</v>
      </c>
      <c r="L381" s="4">
        <f t="shared" si="50"/>
        <v>63003</v>
      </c>
      <c r="M381" s="4">
        <v>0</v>
      </c>
      <c r="N381" s="4">
        <f t="shared" si="49"/>
        <v>63003</v>
      </c>
      <c r="O381" s="4">
        <v>1</v>
      </c>
      <c r="P381" s="4">
        <v>0</v>
      </c>
      <c r="Q381" s="4">
        <v>0</v>
      </c>
      <c r="R381" s="7" t="str">
        <f>"&lt;color=#"&amp;VLOOKUP(E381,[1]品质主表!$B$6:$C$13,2,FALSE)&amp;"&gt;"&amp;C381&amp;"&lt;/color&gt;"</f>
        <v>&lt;color=#f044dc&gt;御风神环&lt;/color&gt;</v>
      </c>
    </row>
    <row r="382" spans="2:18" x14ac:dyDescent="0.3">
      <c r="B382" s="1">
        <v>63004</v>
      </c>
      <c r="C382" s="7" t="s">
        <v>686</v>
      </c>
      <c r="E382" s="1">
        <v>4</v>
      </c>
      <c r="F382" s="4">
        <v>16</v>
      </c>
      <c r="G382" s="10">
        <v>5</v>
      </c>
      <c r="H382" s="10">
        <v>1</v>
      </c>
      <c r="J382" s="15" t="s">
        <v>726</v>
      </c>
      <c r="L382" s="4">
        <f t="shared" si="50"/>
        <v>63004</v>
      </c>
      <c r="M382" s="4">
        <v>0</v>
      </c>
      <c r="N382" s="4">
        <f t="shared" si="49"/>
        <v>63004</v>
      </c>
      <c r="O382" s="4">
        <v>1</v>
      </c>
      <c r="P382" s="4">
        <v>0</v>
      </c>
      <c r="Q382" s="4">
        <v>0</v>
      </c>
      <c r="R382" s="7" t="str">
        <f>"&lt;color=#"&amp;VLOOKUP(E382,[1]品质主表!$B$6:$C$13,2,FALSE)&amp;"&gt;"&amp;C382&amp;"&lt;/color&gt;"</f>
        <v>&lt;color=#edde00&gt;御风神环&lt;/color&gt;</v>
      </c>
    </row>
    <row r="383" spans="2:18" x14ac:dyDescent="0.3">
      <c r="B383" s="1">
        <v>63005</v>
      </c>
      <c r="C383" s="7" t="s">
        <v>686</v>
      </c>
      <c r="E383" s="1">
        <v>5</v>
      </c>
      <c r="F383" s="4">
        <v>16</v>
      </c>
      <c r="G383" s="10">
        <v>5</v>
      </c>
      <c r="H383" s="10">
        <v>1</v>
      </c>
      <c r="J383" s="15" t="s">
        <v>727</v>
      </c>
      <c r="L383" s="4">
        <f t="shared" si="50"/>
        <v>63005</v>
      </c>
      <c r="M383" s="4">
        <v>0</v>
      </c>
      <c r="N383" s="4">
        <f t="shared" si="49"/>
        <v>63005</v>
      </c>
      <c r="O383" s="4">
        <v>1</v>
      </c>
      <c r="P383" s="4">
        <v>0</v>
      </c>
      <c r="Q383" s="4">
        <v>0</v>
      </c>
      <c r="R383" s="7" t="str">
        <f>"&lt;color=#"&amp;VLOOKUP(E383,[1]品质主表!$B$6:$C$13,2,FALSE)&amp;"&gt;"&amp;C383&amp;"&lt;/color&gt;"</f>
        <v>&lt;color=#ff8000&gt;御风神环&lt;/color&gt;</v>
      </c>
    </row>
    <row r="384" spans="2:18" x14ac:dyDescent="0.3">
      <c r="B384" s="1">
        <v>63006</v>
      </c>
      <c r="C384" s="7" t="s">
        <v>686</v>
      </c>
      <c r="E384" s="1">
        <v>6</v>
      </c>
      <c r="F384" s="4">
        <v>16</v>
      </c>
      <c r="G384" s="10">
        <v>5</v>
      </c>
      <c r="H384" s="10">
        <v>1</v>
      </c>
      <c r="J384" s="15" t="s">
        <v>728</v>
      </c>
      <c r="L384" s="4">
        <f t="shared" si="50"/>
        <v>63006</v>
      </c>
      <c r="M384" s="4">
        <v>0</v>
      </c>
      <c r="N384" s="4">
        <f t="shared" si="49"/>
        <v>63006</v>
      </c>
      <c r="O384" s="4">
        <v>1</v>
      </c>
      <c r="P384" s="4">
        <v>0</v>
      </c>
      <c r="Q384" s="4">
        <v>0</v>
      </c>
      <c r="R384" s="7" t="str">
        <f>"&lt;color=#"&amp;VLOOKUP(E384,[1]品质主表!$B$6:$C$13,2,FALSE)&amp;"&gt;"&amp;C384&amp;"&lt;/color&gt;"</f>
        <v>&lt;color=#ff4d4d&gt;御风神环&lt;/color&gt;</v>
      </c>
    </row>
    <row r="385" spans="2:18" x14ac:dyDescent="0.3">
      <c r="B385" s="1">
        <v>63007</v>
      </c>
      <c r="C385" s="7" t="s">
        <v>686</v>
      </c>
      <c r="E385" s="1">
        <v>7</v>
      </c>
      <c r="F385" s="4">
        <v>16</v>
      </c>
      <c r="G385" s="10">
        <v>5</v>
      </c>
      <c r="H385" s="10">
        <v>1</v>
      </c>
      <c r="J385" s="15" t="s">
        <v>729</v>
      </c>
      <c r="L385" s="4">
        <f t="shared" si="50"/>
        <v>63007</v>
      </c>
      <c r="M385" s="4">
        <v>0</v>
      </c>
      <c r="N385" s="4">
        <f t="shared" si="49"/>
        <v>63007</v>
      </c>
      <c r="O385" s="4">
        <v>1</v>
      </c>
      <c r="P385" s="4">
        <v>0</v>
      </c>
      <c r="Q385" s="4">
        <v>0</v>
      </c>
      <c r="R385" s="7" t="str">
        <f>"&lt;color=#"&amp;VLOOKUP(E385,[1]品质主表!$B$6:$C$13,2,FALSE)&amp;"&gt;"&amp;C385&amp;"&lt;/color&gt;"</f>
        <v>&lt;color=#ff779d&gt;御风神环&lt;/color&gt;</v>
      </c>
    </row>
    <row r="386" spans="2:18" x14ac:dyDescent="0.3">
      <c r="B386" s="1">
        <v>63008</v>
      </c>
      <c r="C386" s="7" t="s">
        <v>686</v>
      </c>
      <c r="E386" s="1">
        <v>7</v>
      </c>
      <c r="F386" s="4">
        <v>16</v>
      </c>
      <c r="G386" s="10">
        <v>5</v>
      </c>
      <c r="H386" s="10">
        <v>1</v>
      </c>
      <c r="J386" s="15" t="s">
        <v>730</v>
      </c>
      <c r="L386" s="4">
        <f t="shared" si="50"/>
        <v>63008</v>
      </c>
      <c r="M386" s="4">
        <v>0</v>
      </c>
      <c r="N386" s="4">
        <f t="shared" si="49"/>
        <v>63008</v>
      </c>
      <c r="O386" s="4">
        <v>1</v>
      </c>
      <c r="P386" s="4">
        <v>0</v>
      </c>
      <c r="Q386" s="4">
        <v>0</v>
      </c>
      <c r="R386" s="7" t="str">
        <f>"&lt;color=#"&amp;VLOOKUP(E386,[1]品质主表!$B$6:$C$13,2,FALSE)&amp;"&gt;"&amp;C386&amp;"&lt;/color&gt;"</f>
        <v>&lt;color=#ff779d&gt;御风神环&lt;/color&gt;</v>
      </c>
    </row>
    <row r="387" spans="2:18" x14ac:dyDescent="0.3">
      <c r="B387" s="1">
        <v>63009</v>
      </c>
      <c r="C387" s="7" t="s">
        <v>686</v>
      </c>
      <c r="E387" s="1">
        <v>7</v>
      </c>
      <c r="F387" s="4">
        <v>16</v>
      </c>
      <c r="G387" s="10">
        <v>5</v>
      </c>
      <c r="H387" s="10">
        <v>1</v>
      </c>
      <c r="J387" s="15" t="s">
        <v>731</v>
      </c>
      <c r="L387" s="4">
        <f t="shared" si="50"/>
        <v>63009</v>
      </c>
      <c r="M387" s="4">
        <v>0</v>
      </c>
      <c r="N387" s="4">
        <f t="shared" si="49"/>
        <v>63009</v>
      </c>
      <c r="O387" s="4">
        <v>1</v>
      </c>
      <c r="P387" s="4">
        <v>0</v>
      </c>
      <c r="Q387" s="4">
        <v>0</v>
      </c>
      <c r="R387" s="7" t="str">
        <f>"&lt;color=#"&amp;VLOOKUP(E387,[1]品质主表!$B$6:$C$13,2,FALSE)&amp;"&gt;"&amp;C387&amp;"&lt;/color&gt;"</f>
        <v>&lt;color=#ff779d&gt;御风神环&lt;/color&gt;</v>
      </c>
    </row>
    <row r="388" spans="2:18" x14ac:dyDescent="0.3">
      <c r="B388" s="1">
        <v>63010</v>
      </c>
      <c r="C388" s="7" t="s">
        <v>686</v>
      </c>
      <c r="E388" s="1">
        <v>7</v>
      </c>
      <c r="F388" s="4">
        <v>16</v>
      </c>
      <c r="G388" s="10">
        <v>5</v>
      </c>
      <c r="H388" s="10">
        <v>1</v>
      </c>
      <c r="J388" s="15" t="s">
        <v>732</v>
      </c>
      <c r="L388" s="4">
        <f t="shared" si="50"/>
        <v>63010</v>
      </c>
      <c r="M388" s="4">
        <v>0</v>
      </c>
      <c r="N388" s="4">
        <f t="shared" si="49"/>
        <v>63010</v>
      </c>
      <c r="O388" s="4">
        <v>1</v>
      </c>
      <c r="P388" s="4">
        <v>0</v>
      </c>
      <c r="Q388" s="4">
        <v>0</v>
      </c>
      <c r="R388" s="7" t="str">
        <f>"&lt;color=#"&amp;VLOOKUP(E388,[1]品质主表!$B$6:$C$13,2,FALSE)&amp;"&gt;"&amp;C388&amp;"&lt;/color&gt;"</f>
        <v>&lt;color=#ff779d&gt;御风神环&lt;/color&gt;</v>
      </c>
    </row>
    <row r="389" spans="2:18" x14ac:dyDescent="0.3">
      <c r="B389" s="1">
        <v>63011</v>
      </c>
      <c r="C389" s="7" t="s">
        <v>686</v>
      </c>
      <c r="E389" s="1">
        <v>7</v>
      </c>
      <c r="F389" s="4">
        <v>16</v>
      </c>
      <c r="G389" s="10">
        <v>5</v>
      </c>
      <c r="H389" s="10">
        <v>1</v>
      </c>
      <c r="J389" s="15" t="s">
        <v>733</v>
      </c>
      <c r="L389" s="4">
        <f t="shared" si="50"/>
        <v>63011</v>
      </c>
      <c r="M389" s="4">
        <v>0</v>
      </c>
      <c r="N389" s="4">
        <f t="shared" si="49"/>
        <v>63011</v>
      </c>
      <c r="O389" s="4">
        <v>1</v>
      </c>
      <c r="P389" s="4">
        <v>0</v>
      </c>
      <c r="Q389" s="4">
        <v>0</v>
      </c>
      <c r="R389" s="7" t="str">
        <f>"&lt;color=#"&amp;VLOOKUP(E389,[1]品质主表!$B$6:$C$13,2,FALSE)&amp;"&gt;"&amp;C389&amp;"&lt;/color&gt;"</f>
        <v>&lt;color=#ff779d&gt;御风神环&lt;/color&gt;</v>
      </c>
    </row>
    <row r="390" spans="2:18" x14ac:dyDescent="0.3">
      <c r="B390" s="1">
        <v>63012</v>
      </c>
      <c r="C390" s="7" t="s">
        <v>686</v>
      </c>
      <c r="E390" s="1">
        <v>7</v>
      </c>
      <c r="F390" s="4">
        <v>16</v>
      </c>
      <c r="G390" s="10">
        <v>5</v>
      </c>
      <c r="H390" s="10">
        <v>1</v>
      </c>
      <c r="J390" s="15" t="s">
        <v>734</v>
      </c>
      <c r="L390" s="4">
        <f t="shared" si="50"/>
        <v>63012</v>
      </c>
      <c r="M390" s="4">
        <v>0</v>
      </c>
      <c r="N390" s="4">
        <f t="shared" si="49"/>
        <v>63012</v>
      </c>
      <c r="O390" s="4">
        <v>1</v>
      </c>
      <c r="P390" s="4">
        <v>0</v>
      </c>
      <c r="Q390" s="4">
        <v>0</v>
      </c>
      <c r="R390" s="7" t="str">
        <f>"&lt;color=#"&amp;VLOOKUP(E390,[1]品质主表!$B$6:$C$13,2,FALSE)&amp;"&gt;"&amp;C390&amp;"&lt;/color&gt;"</f>
        <v>&lt;color=#ff779d&gt;御风神环&lt;/color&gt;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2"/>
  <sheetViews>
    <sheetView topLeftCell="A304" workbookViewId="0">
      <selection activeCell="F326" sqref="F326"/>
    </sheetView>
  </sheetViews>
  <sheetFormatPr defaultColWidth="9" defaultRowHeight="13.5" x14ac:dyDescent="0.3"/>
  <cols>
    <col min="2" max="2" width="9" style="1"/>
    <col min="3" max="3" width="16.46484375" customWidth="1"/>
    <col min="4" max="4" width="12.265625" customWidth="1"/>
    <col min="5" max="6" width="20.59765625" customWidth="1"/>
  </cols>
  <sheetData>
    <row r="1" spans="1:6" x14ac:dyDescent="0.3">
      <c r="A1" s="2" t="s">
        <v>0</v>
      </c>
      <c r="B1" s="1" t="s">
        <v>1</v>
      </c>
      <c r="C1" t="s">
        <v>28</v>
      </c>
      <c r="D1" t="s">
        <v>28</v>
      </c>
      <c r="E1" t="s">
        <v>315</v>
      </c>
      <c r="F1" s="16" t="s">
        <v>427</v>
      </c>
    </row>
    <row r="2" spans="1:6" x14ac:dyDescent="0.3">
      <c r="A2" s="2" t="s">
        <v>0</v>
      </c>
    </row>
    <row r="3" spans="1:6" x14ac:dyDescent="0.3">
      <c r="A3" s="3" t="s">
        <v>15</v>
      </c>
      <c r="B3" s="1" t="s">
        <v>16</v>
      </c>
      <c r="E3" t="s">
        <v>17</v>
      </c>
      <c r="F3" t="s">
        <v>17</v>
      </c>
    </row>
    <row r="4" spans="1:6" x14ac:dyDescent="0.3">
      <c r="A4" s="3" t="s">
        <v>25</v>
      </c>
    </row>
    <row r="5" spans="1:6" x14ac:dyDescent="0.3">
      <c r="A5" s="2" t="s">
        <v>28</v>
      </c>
      <c r="B5" s="1" t="s">
        <v>1</v>
      </c>
      <c r="C5" t="s">
        <v>316</v>
      </c>
      <c r="D5" t="s">
        <v>317</v>
      </c>
      <c r="E5" s="16" t="s">
        <v>431</v>
      </c>
      <c r="F5" s="16" t="s">
        <v>430</v>
      </c>
    </row>
    <row r="6" spans="1:6" ht="14.25" x14ac:dyDescent="0.4">
      <c r="B6" s="4">
        <v>1</v>
      </c>
      <c r="C6" s="5" t="s">
        <v>44</v>
      </c>
      <c r="D6" s="5" t="s">
        <v>44</v>
      </c>
      <c r="E6" s="6"/>
      <c r="F6" s="6"/>
    </row>
    <row r="7" spans="1:6" ht="14.25" x14ac:dyDescent="0.4">
      <c r="B7" s="4">
        <v>2</v>
      </c>
      <c r="C7" s="5" t="s">
        <v>318</v>
      </c>
      <c r="D7" s="5" t="s">
        <v>318</v>
      </c>
      <c r="E7" s="6"/>
      <c r="F7" s="6"/>
    </row>
    <row r="8" spans="1:6" ht="14.25" x14ac:dyDescent="0.4">
      <c r="B8" s="4">
        <v>1001</v>
      </c>
      <c r="C8" s="5" t="s">
        <v>46</v>
      </c>
      <c r="D8" s="5" t="s">
        <v>319</v>
      </c>
      <c r="E8" s="6" t="s">
        <v>320</v>
      </c>
      <c r="F8" s="6"/>
    </row>
    <row r="9" spans="1:6" ht="14.25" x14ac:dyDescent="0.4">
      <c r="B9" s="4">
        <v>1002</v>
      </c>
      <c r="C9" s="5" t="s">
        <v>47</v>
      </c>
      <c r="D9" s="5" t="s">
        <v>48</v>
      </c>
      <c r="E9" s="6" t="s">
        <v>321</v>
      </c>
      <c r="F9" s="6"/>
    </row>
    <row r="10" spans="1:6" ht="14.25" x14ac:dyDescent="0.4">
      <c r="B10" s="4">
        <v>1003</v>
      </c>
      <c r="C10" s="5" t="s">
        <v>50</v>
      </c>
      <c r="D10" s="5" t="s">
        <v>51</v>
      </c>
      <c r="E10" s="6" t="s">
        <v>322</v>
      </c>
      <c r="F10" s="6"/>
    </row>
    <row r="11" spans="1:6" ht="14.25" x14ac:dyDescent="0.4">
      <c r="B11" s="4">
        <v>1004</v>
      </c>
      <c r="C11" s="5" t="s">
        <v>52</v>
      </c>
      <c r="D11" s="5" t="s">
        <v>53</v>
      </c>
      <c r="E11" s="6" t="s">
        <v>323</v>
      </c>
      <c r="F11" s="6"/>
    </row>
    <row r="12" spans="1:6" x14ac:dyDescent="0.3">
      <c r="B12" s="4">
        <v>1005</v>
      </c>
      <c r="C12" s="7" t="s">
        <v>55</v>
      </c>
      <c r="D12" s="7" t="s">
        <v>56</v>
      </c>
      <c r="E12" s="17" t="s">
        <v>999</v>
      </c>
      <c r="F12" s="6"/>
    </row>
    <row r="13" spans="1:6" x14ac:dyDescent="0.3">
      <c r="B13" s="4">
        <v>1006</v>
      </c>
      <c r="C13" s="7" t="s">
        <v>57</v>
      </c>
      <c r="D13" s="7" t="s">
        <v>58</v>
      </c>
      <c r="E13" s="6" t="s">
        <v>324</v>
      </c>
      <c r="F13" s="6"/>
    </row>
    <row r="14" spans="1:6" x14ac:dyDescent="0.3">
      <c r="B14" s="4">
        <v>1007</v>
      </c>
      <c r="C14" s="7" t="s">
        <v>59</v>
      </c>
      <c r="D14" s="7" t="s">
        <v>60</v>
      </c>
      <c r="E14" s="6" t="s">
        <v>325</v>
      </c>
      <c r="F14" s="6"/>
    </row>
    <row r="15" spans="1:6" ht="14.25" x14ac:dyDescent="0.4">
      <c r="B15" s="4">
        <v>1008</v>
      </c>
      <c r="C15" s="8" t="s">
        <v>61</v>
      </c>
      <c r="D15" s="8" t="s">
        <v>62</v>
      </c>
      <c r="E15" s="6" t="s">
        <v>326</v>
      </c>
      <c r="F15" s="6"/>
    </row>
    <row r="16" spans="1:6" ht="14.25" x14ac:dyDescent="0.4">
      <c r="B16" s="4">
        <v>1009</v>
      </c>
      <c r="C16" s="8" t="s">
        <v>63</v>
      </c>
      <c r="D16" s="8" t="s">
        <v>64</v>
      </c>
      <c r="E16" s="6" t="s">
        <v>327</v>
      </c>
      <c r="F16" s="6"/>
    </row>
    <row r="17" spans="2:6" ht="14.25" x14ac:dyDescent="0.4">
      <c r="B17" s="4">
        <v>1010</v>
      </c>
      <c r="C17" s="8" t="s">
        <v>646</v>
      </c>
      <c r="D17" s="8" t="s">
        <v>648</v>
      </c>
      <c r="E17" s="17" t="s">
        <v>741</v>
      </c>
      <c r="F17" s="6"/>
    </row>
    <row r="18" spans="2:6" ht="14.25" x14ac:dyDescent="0.4">
      <c r="B18" s="4">
        <v>1011</v>
      </c>
      <c r="C18" s="8" t="s">
        <v>806</v>
      </c>
      <c r="D18" s="8" t="s">
        <v>808</v>
      </c>
      <c r="E18" s="17" t="s">
        <v>903</v>
      </c>
      <c r="F18" s="6"/>
    </row>
    <row r="19" spans="2:6" ht="14.25" x14ac:dyDescent="0.4">
      <c r="B19" s="4">
        <v>1012</v>
      </c>
      <c r="C19" s="8" t="s">
        <v>996</v>
      </c>
      <c r="D19" s="8" t="s">
        <v>503</v>
      </c>
      <c r="E19" s="6" t="s">
        <v>327</v>
      </c>
      <c r="F19" s="6"/>
    </row>
    <row r="20" spans="2:6" ht="14.25" x14ac:dyDescent="0.4">
      <c r="B20" s="4">
        <v>1013</v>
      </c>
      <c r="C20" s="8" t="s">
        <v>521</v>
      </c>
      <c r="D20" s="8" t="s">
        <v>746</v>
      </c>
      <c r="E20" s="17" t="s">
        <v>534</v>
      </c>
      <c r="F20" s="6"/>
    </row>
    <row r="21" spans="2:6" ht="14.25" x14ac:dyDescent="0.4">
      <c r="B21" s="4">
        <v>1014</v>
      </c>
      <c r="C21" s="8" t="s">
        <v>523</v>
      </c>
      <c r="D21" s="8" t="s">
        <v>529</v>
      </c>
      <c r="E21" s="17" t="s">
        <v>535</v>
      </c>
      <c r="F21" s="6"/>
    </row>
    <row r="22" spans="2:6" ht="14.25" x14ac:dyDescent="0.4">
      <c r="B22" s="4">
        <v>1015</v>
      </c>
      <c r="C22" s="8" t="s">
        <v>525</v>
      </c>
      <c r="D22" s="8" t="s">
        <v>531</v>
      </c>
      <c r="E22" s="17" t="s">
        <v>536</v>
      </c>
      <c r="F22" s="6"/>
    </row>
    <row r="23" spans="2:6" ht="14.25" x14ac:dyDescent="0.4">
      <c r="B23" s="4">
        <v>1016</v>
      </c>
      <c r="C23" s="8" t="s">
        <v>526</v>
      </c>
      <c r="D23" s="8" t="s">
        <v>532</v>
      </c>
      <c r="E23" s="17" t="s">
        <v>537</v>
      </c>
      <c r="F23" s="6"/>
    </row>
    <row r="24" spans="2:6" ht="14.25" x14ac:dyDescent="0.4">
      <c r="B24" s="4">
        <v>1017</v>
      </c>
      <c r="C24" s="8" t="s">
        <v>527</v>
      </c>
      <c r="D24" s="8" t="s">
        <v>533</v>
      </c>
      <c r="E24" s="17" t="s">
        <v>538</v>
      </c>
      <c r="F24" s="6"/>
    </row>
    <row r="25" spans="2:6" ht="14.25" x14ac:dyDescent="0.4">
      <c r="B25" s="4">
        <v>1018</v>
      </c>
      <c r="C25" s="8" t="s">
        <v>742</v>
      </c>
      <c r="D25" s="8" t="s">
        <v>743</v>
      </c>
      <c r="E25" s="17" t="s">
        <v>539</v>
      </c>
      <c r="F25" s="6"/>
    </row>
    <row r="26" spans="2:6" ht="14.25" x14ac:dyDescent="0.4">
      <c r="B26" s="4">
        <v>1019</v>
      </c>
      <c r="C26" s="8" t="s">
        <v>744</v>
      </c>
      <c r="D26" s="8" t="s">
        <v>745</v>
      </c>
      <c r="E26" s="17" t="s">
        <v>747</v>
      </c>
      <c r="F26" s="6"/>
    </row>
    <row r="27" spans="2:6" ht="14.25" x14ac:dyDescent="0.4">
      <c r="B27" s="4">
        <v>1020</v>
      </c>
      <c r="C27" s="8" t="s">
        <v>524</v>
      </c>
      <c r="D27" s="8" t="s">
        <v>530</v>
      </c>
      <c r="E27" s="17" t="s">
        <v>748</v>
      </c>
      <c r="F27" s="6"/>
    </row>
    <row r="28" spans="2:6" ht="14.25" x14ac:dyDescent="0.4">
      <c r="B28" s="4">
        <v>1030</v>
      </c>
      <c r="C28" s="8" t="s">
        <v>769</v>
      </c>
      <c r="D28" s="8" t="s">
        <v>671</v>
      </c>
      <c r="E28" s="17" t="s">
        <v>762</v>
      </c>
      <c r="F28" s="6"/>
    </row>
    <row r="29" spans="2:6" ht="14.25" x14ac:dyDescent="0.4">
      <c r="B29" s="4">
        <v>1031</v>
      </c>
      <c r="C29" s="8" t="s">
        <v>768</v>
      </c>
      <c r="D29" s="8" t="s">
        <v>768</v>
      </c>
      <c r="E29" s="17" t="s">
        <v>763</v>
      </c>
      <c r="F29" s="6"/>
    </row>
    <row r="30" spans="2:6" ht="14.25" x14ac:dyDescent="0.4">
      <c r="B30" s="4">
        <v>1040</v>
      </c>
      <c r="C30" s="8" t="s">
        <v>655</v>
      </c>
      <c r="D30" s="8" t="s">
        <v>659</v>
      </c>
      <c r="E30" s="17" t="s">
        <v>764</v>
      </c>
      <c r="F30" s="6"/>
    </row>
    <row r="31" spans="2:6" ht="14.25" x14ac:dyDescent="0.4">
      <c r="B31" s="4">
        <v>1041</v>
      </c>
      <c r="C31" s="8" t="s">
        <v>656</v>
      </c>
      <c r="D31" s="8" t="s">
        <v>661</v>
      </c>
      <c r="E31" s="17" t="s">
        <v>765</v>
      </c>
      <c r="F31" s="6"/>
    </row>
    <row r="32" spans="2:6" ht="14.25" x14ac:dyDescent="0.4">
      <c r="B32" s="4">
        <v>1042</v>
      </c>
      <c r="C32" s="8" t="s">
        <v>657</v>
      </c>
      <c r="D32" s="8" t="s">
        <v>666</v>
      </c>
      <c r="E32" s="17" t="s">
        <v>766</v>
      </c>
      <c r="F32" s="6"/>
    </row>
    <row r="33" spans="2:6" ht="14.25" x14ac:dyDescent="0.4">
      <c r="B33" s="4">
        <v>1043</v>
      </c>
      <c r="C33" s="8" t="s">
        <v>658</v>
      </c>
      <c r="D33" s="8" t="s">
        <v>668</v>
      </c>
      <c r="E33" s="17" t="s">
        <v>767</v>
      </c>
      <c r="F33" s="6"/>
    </row>
    <row r="34" spans="2:6" ht="14.25" x14ac:dyDescent="0.4">
      <c r="B34" s="4">
        <v>1050</v>
      </c>
      <c r="C34" s="8" t="s">
        <v>776</v>
      </c>
      <c r="D34" s="8" t="s">
        <v>776</v>
      </c>
      <c r="E34" s="17" t="s">
        <v>786</v>
      </c>
      <c r="F34" s="6"/>
    </row>
    <row r="35" spans="2:6" ht="14.25" x14ac:dyDescent="0.4">
      <c r="B35" s="4">
        <v>1051</v>
      </c>
      <c r="C35" s="8" t="s">
        <v>778</v>
      </c>
      <c r="D35" s="8" t="s">
        <v>778</v>
      </c>
      <c r="E35" s="17" t="s">
        <v>787</v>
      </c>
      <c r="F35" s="6"/>
    </row>
    <row r="36" spans="2:6" ht="14.25" x14ac:dyDescent="0.4">
      <c r="B36" s="4">
        <v>1061</v>
      </c>
      <c r="C36" s="8" t="s">
        <v>904</v>
      </c>
      <c r="D36" s="8" t="s">
        <v>904</v>
      </c>
      <c r="E36" s="17" t="s">
        <v>920</v>
      </c>
      <c r="F36" s="6"/>
    </row>
    <row r="37" spans="2:6" ht="14.25" x14ac:dyDescent="0.4">
      <c r="B37" s="4">
        <v>1062</v>
      </c>
      <c r="C37" s="8" t="s">
        <v>905</v>
      </c>
      <c r="D37" s="8" t="s">
        <v>905</v>
      </c>
      <c r="E37" s="17" t="s">
        <v>921</v>
      </c>
      <c r="F37" s="6"/>
    </row>
    <row r="38" spans="2:6" ht="14.25" x14ac:dyDescent="0.4">
      <c r="B38" s="4">
        <v>1063</v>
      </c>
      <c r="C38" s="8" t="s">
        <v>907</v>
      </c>
      <c r="D38" s="8" t="s">
        <v>907</v>
      </c>
      <c r="E38" s="17" t="s">
        <v>922</v>
      </c>
      <c r="F38" s="6"/>
    </row>
    <row r="39" spans="2:6" ht="14.25" x14ac:dyDescent="0.4">
      <c r="B39" s="4">
        <v>1064</v>
      </c>
      <c r="C39" s="8" t="s">
        <v>995</v>
      </c>
      <c r="D39" s="8" t="s">
        <v>995</v>
      </c>
      <c r="E39" s="17" t="s">
        <v>997</v>
      </c>
      <c r="F39" s="6"/>
    </row>
    <row r="40" spans="2:6" ht="14.25" x14ac:dyDescent="0.4">
      <c r="B40" s="4">
        <v>2013</v>
      </c>
      <c r="C40" s="8" t="s">
        <v>521</v>
      </c>
      <c r="D40" s="8" t="s">
        <v>746</v>
      </c>
      <c r="E40" s="17" t="s">
        <v>957</v>
      </c>
      <c r="F40" s="6"/>
    </row>
    <row r="41" spans="2:6" ht="14.25" x14ac:dyDescent="0.4">
      <c r="B41" s="4">
        <v>2014</v>
      </c>
      <c r="C41" s="8" t="s">
        <v>523</v>
      </c>
      <c r="D41" s="8" t="s">
        <v>529</v>
      </c>
      <c r="E41" s="17" t="s">
        <v>958</v>
      </c>
      <c r="F41" s="6"/>
    </row>
    <row r="42" spans="2:6" ht="14.25" x14ac:dyDescent="0.4">
      <c r="B42" s="4">
        <v>2015</v>
      </c>
      <c r="C42" s="8" t="s">
        <v>525</v>
      </c>
      <c r="D42" s="8" t="s">
        <v>531</v>
      </c>
      <c r="E42" s="17" t="s">
        <v>959</v>
      </c>
      <c r="F42" s="6"/>
    </row>
    <row r="43" spans="2:6" ht="14.25" x14ac:dyDescent="0.4">
      <c r="B43" s="4">
        <v>2016</v>
      </c>
      <c r="C43" s="8" t="s">
        <v>526</v>
      </c>
      <c r="D43" s="8" t="s">
        <v>532</v>
      </c>
      <c r="E43" s="17" t="s">
        <v>960</v>
      </c>
      <c r="F43" s="6"/>
    </row>
    <row r="44" spans="2:6" ht="14.25" x14ac:dyDescent="0.4">
      <c r="B44" s="4">
        <v>2017</v>
      </c>
      <c r="C44" s="8" t="s">
        <v>527</v>
      </c>
      <c r="D44" s="8" t="s">
        <v>533</v>
      </c>
      <c r="E44" s="17" t="s">
        <v>961</v>
      </c>
      <c r="F44" s="6"/>
    </row>
    <row r="45" spans="2:6" ht="14.25" x14ac:dyDescent="0.4">
      <c r="B45" s="4">
        <v>2018</v>
      </c>
      <c r="C45" s="8" t="s">
        <v>742</v>
      </c>
      <c r="D45" s="8" t="s">
        <v>743</v>
      </c>
      <c r="E45" s="17" t="s">
        <v>962</v>
      </c>
      <c r="F45" s="6"/>
    </row>
    <row r="46" spans="2:6" ht="14.25" x14ac:dyDescent="0.4">
      <c r="B46" s="4">
        <v>2019</v>
      </c>
      <c r="C46" s="8" t="s">
        <v>744</v>
      </c>
      <c r="D46" s="8" t="s">
        <v>745</v>
      </c>
      <c r="E46" s="17" t="s">
        <v>963</v>
      </c>
      <c r="F46" s="6"/>
    </row>
    <row r="47" spans="2:6" ht="14.25" x14ac:dyDescent="0.4">
      <c r="B47" s="4">
        <v>2020</v>
      </c>
      <c r="C47" s="8" t="s">
        <v>524</v>
      </c>
      <c r="D47" s="8" t="s">
        <v>530</v>
      </c>
      <c r="E47" s="17" t="s">
        <v>964</v>
      </c>
      <c r="F47" s="6"/>
    </row>
    <row r="48" spans="2:6" ht="14.25" x14ac:dyDescent="0.4">
      <c r="B48" s="4">
        <v>3013</v>
      </c>
      <c r="C48" s="8" t="s">
        <v>521</v>
      </c>
      <c r="D48" s="8" t="s">
        <v>746</v>
      </c>
      <c r="E48" s="17" t="s">
        <v>971</v>
      </c>
      <c r="F48" s="6"/>
    </row>
    <row r="49" spans="2:6" ht="14.25" x14ac:dyDescent="0.4">
      <c r="B49" s="4">
        <v>3014</v>
      </c>
      <c r="C49" s="8" t="s">
        <v>523</v>
      </c>
      <c r="D49" s="8" t="s">
        <v>529</v>
      </c>
      <c r="E49" s="17" t="s">
        <v>972</v>
      </c>
      <c r="F49" s="6"/>
    </row>
    <row r="50" spans="2:6" ht="14.25" x14ac:dyDescent="0.4">
      <c r="B50" s="4">
        <v>3015</v>
      </c>
      <c r="C50" s="8" t="s">
        <v>525</v>
      </c>
      <c r="D50" s="8" t="s">
        <v>531</v>
      </c>
      <c r="E50" s="17" t="s">
        <v>973</v>
      </c>
      <c r="F50" s="6"/>
    </row>
    <row r="51" spans="2:6" ht="14.25" x14ac:dyDescent="0.4">
      <c r="B51" s="4">
        <v>3016</v>
      </c>
      <c r="C51" s="8" t="s">
        <v>526</v>
      </c>
      <c r="D51" s="8" t="s">
        <v>532</v>
      </c>
      <c r="E51" s="17" t="s">
        <v>974</v>
      </c>
      <c r="F51" s="6"/>
    </row>
    <row r="52" spans="2:6" ht="14.25" x14ac:dyDescent="0.4">
      <c r="B52" s="4">
        <v>3017</v>
      </c>
      <c r="C52" s="8" t="s">
        <v>527</v>
      </c>
      <c r="D52" s="8" t="s">
        <v>533</v>
      </c>
      <c r="E52" s="17" t="s">
        <v>975</v>
      </c>
      <c r="F52" s="6"/>
    </row>
    <row r="53" spans="2:6" ht="14.25" x14ac:dyDescent="0.4">
      <c r="B53" s="4">
        <v>3018</v>
      </c>
      <c r="C53" s="8" t="s">
        <v>742</v>
      </c>
      <c r="D53" s="8" t="s">
        <v>743</v>
      </c>
      <c r="E53" s="17" t="s">
        <v>976</v>
      </c>
      <c r="F53" s="6"/>
    </row>
    <row r="54" spans="2:6" ht="14.25" x14ac:dyDescent="0.4">
      <c r="B54" s="4">
        <v>3019</v>
      </c>
      <c r="C54" s="8" t="s">
        <v>744</v>
      </c>
      <c r="D54" s="8" t="s">
        <v>745</v>
      </c>
      <c r="E54" s="17" t="s">
        <v>977</v>
      </c>
      <c r="F54" s="6"/>
    </row>
    <row r="55" spans="2:6" ht="14.25" x14ac:dyDescent="0.4">
      <c r="B55" s="4">
        <v>3020</v>
      </c>
      <c r="C55" s="8" t="s">
        <v>524</v>
      </c>
      <c r="D55" s="8" t="s">
        <v>530</v>
      </c>
      <c r="E55" s="17" t="s">
        <v>978</v>
      </c>
      <c r="F55" s="6"/>
    </row>
    <row r="56" spans="2:6" x14ac:dyDescent="0.3">
      <c r="B56" s="1">
        <v>10001</v>
      </c>
      <c r="C56" t="s">
        <v>65</v>
      </c>
      <c r="D56" t="s">
        <v>339</v>
      </c>
      <c r="E56" s="17" t="s">
        <v>345</v>
      </c>
      <c r="F56" s="17"/>
    </row>
    <row r="57" spans="2:6" x14ac:dyDescent="0.3">
      <c r="B57" s="1">
        <v>10002</v>
      </c>
      <c r="C57" t="s">
        <v>65</v>
      </c>
      <c r="D57" t="s">
        <v>340</v>
      </c>
      <c r="E57" s="17" t="s">
        <v>345</v>
      </c>
      <c r="F57" s="17"/>
    </row>
    <row r="58" spans="2:6" x14ac:dyDescent="0.3">
      <c r="B58" s="1">
        <v>10003</v>
      </c>
      <c r="C58" t="s">
        <v>65</v>
      </c>
      <c r="D58" t="s">
        <v>341</v>
      </c>
      <c r="E58" s="17" t="s">
        <v>345</v>
      </c>
      <c r="F58" s="17"/>
    </row>
    <row r="59" spans="2:6" x14ac:dyDescent="0.3">
      <c r="B59" s="1">
        <v>10004</v>
      </c>
      <c r="C59" t="s">
        <v>65</v>
      </c>
      <c r="D59" t="s">
        <v>342</v>
      </c>
      <c r="E59" s="17" t="s">
        <v>345</v>
      </c>
      <c r="F59" s="17"/>
    </row>
    <row r="60" spans="2:6" x14ac:dyDescent="0.3">
      <c r="B60" s="1">
        <v>10005</v>
      </c>
      <c r="C60" t="s">
        <v>65</v>
      </c>
      <c r="D60" t="s">
        <v>72</v>
      </c>
      <c r="E60" s="17" t="s">
        <v>345</v>
      </c>
      <c r="F60" s="17"/>
    </row>
    <row r="61" spans="2:6" x14ac:dyDescent="0.3">
      <c r="B61" s="1">
        <v>10006</v>
      </c>
      <c r="C61" t="s">
        <v>65</v>
      </c>
      <c r="D61" t="s">
        <v>343</v>
      </c>
      <c r="E61" s="17" t="s">
        <v>345</v>
      </c>
      <c r="F61" s="17"/>
    </row>
    <row r="62" spans="2:6" x14ac:dyDescent="0.3">
      <c r="B62" s="1">
        <v>10007</v>
      </c>
      <c r="C62" t="s">
        <v>65</v>
      </c>
      <c r="D62" t="s">
        <v>344</v>
      </c>
      <c r="E62" s="17" t="s">
        <v>345</v>
      </c>
      <c r="F62" s="17"/>
    </row>
    <row r="63" spans="2:6" x14ac:dyDescent="0.3">
      <c r="B63" s="1">
        <v>10008</v>
      </c>
      <c r="C63" t="s">
        <v>848</v>
      </c>
      <c r="D63" t="s">
        <v>849</v>
      </c>
      <c r="E63" s="17" t="s">
        <v>345</v>
      </c>
      <c r="F63" s="17"/>
    </row>
    <row r="64" spans="2:6" x14ac:dyDescent="0.3">
      <c r="B64" s="1">
        <v>10101</v>
      </c>
      <c r="C64" t="s">
        <v>74</v>
      </c>
      <c r="D64" t="s">
        <v>630</v>
      </c>
      <c r="E64" s="17" t="s">
        <v>345</v>
      </c>
      <c r="F64" s="17"/>
    </row>
    <row r="65" spans="2:6" x14ac:dyDescent="0.3">
      <c r="B65" s="1">
        <v>10102</v>
      </c>
      <c r="C65" t="s">
        <v>74</v>
      </c>
      <c r="D65" t="s">
        <v>631</v>
      </c>
      <c r="E65" s="17" t="s">
        <v>345</v>
      </c>
      <c r="F65" s="17"/>
    </row>
    <row r="66" spans="2:6" x14ac:dyDescent="0.3">
      <c r="B66" s="1">
        <v>10103</v>
      </c>
      <c r="C66" t="s">
        <v>74</v>
      </c>
      <c r="D66" t="s">
        <v>632</v>
      </c>
      <c r="E66" s="17" t="s">
        <v>345</v>
      </c>
      <c r="F66" s="17"/>
    </row>
    <row r="67" spans="2:6" x14ac:dyDescent="0.3">
      <c r="B67" s="1">
        <v>10104</v>
      </c>
      <c r="C67" t="s">
        <v>74</v>
      </c>
      <c r="D67" t="s">
        <v>633</v>
      </c>
      <c r="E67" s="17" t="s">
        <v>345</v>
      </c>
      <c r="F67" s="17"/>
    </row>
    <row r="68" spans="2:6" x14ac:dyDescent="0.3">
      <c r="B68" s="1">
        <v>10105</v>
      </c>
      <c r="C68" t="s">
        <v>74</v>
      </c>
      <c r="D68" t="s">
        <v>634</v>
      </c>
      <c r="E68" s="17" t="s">
        <v>345</v>
      </c>
      <c r="F68" s="17"/>
    </row>
    <row r="69" spans="2:6" x14ac:dyDescent="0.3">
      <c r="B69" s="1">
        <v>10106</v>
      </c>
      <c r="C69" t="s">
        <v>74</v>
      </c>
      <c r="D69" t="s">
        <v>635</v>
      </c>
      <c r="E69" s="17" t="s">
        <v>345</v>
      </c>
      <c r="F69" s="17"/>
    </row>
    <row r="70" spans="2:6" x14ac:dyDescent="0.3">
      <c r="B70" s="1">
        <v>10107</v>
      </c>
      <c r="C70" t="s">
        <v>74</v>
      </c>
      <c r="D70" t="s">
        <v>636</v>
      </c>
      <c r="E70" s="17" t="s">
        <v>345</v>
      </c>
      <c r="F70" s="17"/>
    </row>
    <row r="71" spans="2:6" x14ac:dyDescent="0.3">
      <c r="B71" s="1">
        <v>10108</v>
      </c>
      <c r="C71" t="s">
        <v>850</v>
      </c>
      <c r="D71" t="s">
        <v>851</v>
      </c>
      <c r="E71" s="17" t="s">
        <v>345</v>
      </c>
      <c r="F71" s="17"/>
    </row>
    <row r="72" spans="2:6" x14ac:dyDescent="0.3">
      <c r="B72" s="1">
        <v>10201</v>
      </c>
      <c r="C72" t="s">
        <v>82</v>
      </c>
      <c r="D72" t="s">
        <v>852</v>
      </c>
      <c r="E72" s="17" t="s">
        <v>348</v>
      </c>
      <c r="F72" s="17"/>
    </row>
    <row r="73" spans="2:6" x14ac:dyDescent="0.3">
      <c r="B73" s="1">
        <v>10202</v>
      </c>
      <c r="C73" t="s">
        <v>82</v>
      </c>
      <c r="D73" t="s">
        <v>853</v>
      </c>
      <c r="E73" s="17" t="s">
        <v>348</v>
      </c>
      <c r="F73" s="17"/>
    </row>
    <row r="74" spans="2:6" x14ac:dyDescent="0.3">
      <c r="B74" s="1">
        <v>10203</v>
      </c>
      <c r="C74" t="s">
        <v>82</v>
      </c>
      <c r="D74" t="s">
        <v>854</v>
      </c>
      <c r="E74" s="17" t="s">
        <v>348</v>
      </c>
      <c r="F74" s="17"/>
    </row>
    <row r="75" spans="2:6" x14ac:dyDescent="0.3">
      <c r="B75" s="1">
        <v>10204</v>
      </c>
      <c r="C75" t="s">
        <v>82</v>
      </c>
      <c r="D75" t="s">
        <v>855</v>
      </c>
      <c r="E75" s="17" t="s">
        <v>348</v>
      </c>
      <c r="F75" s="17"/>
    </row>
    <row r="76" spans="2:6" x14ac:dyDescent="0.3">
      <c r="B76" s="1">
        <v>10205</v>
      </c>
      <c r="C76" t="s">
        <v>82</v>
      </c>
      <c r="D76" t="s">
        <v>856</v>
      </c>
      <c r="E76" s="17" t="s">
        <v>348</v>
      </c>
      <c r="F76" s="17"/>
    </row>
    <row r="77" spans="2:6" x14ac:dyDescent="0.3">
      <c r="B77" s="1">
        <v>10206</v>
      </c>
      <c r="C77" t="s">
        <v>82</v>
      </c>
      <c r="D77" t="s">
        <v>857</v>
      </c>
      <c r="E77" s="17" t="s">
        <v>348</v>
      </c>
      <c r="F77" s="17"/>
    </row>
    <row r="78" spans="2:6" x14ac:dyDescent="0.3">
      <c r="B78" s="1">
        <v>10207</v>
      </c>
      <c r="C78" t="s">
        <v>82</v>
      </c>
      <c r="D78" t="s">
        <v>858</v>
      </c>
      <c r="E78" s="17" t="s">
        <v>348</v>
      </c>
      <c r="F78" s="17"/>
    </row>
    <row r="79" spans="2:6" x14ac:dyDescent="0.3">
      <c r="B79" s="1">
        <v>10208</v>
      </c>
      <c r="C79" t="s">
        <v>859</v>
      </c>
      <c r="D79" t="s">
        <v>860</v>
      </c>
      <c r="E79" s="17" t="s">
        <v>348</v>
      </c>
      <c r="F79" s="17"/>
    </row>
    <row r="80" spans="2:6" x14ac:dyDescent="0.3">
      <c r="B80" s="1">
        <v>10301</v>
      </c>
      <c r="C80" t="s">
        <v>90</v>
      </c>
      <c r="D80" t="s">
        <v>451</v>
      </c>
      <c r="E80" s="17" t="s">
        <v>345</v>
      </c>
      <c r="F80" s="17"/>
    </row>
    <row r="81" spans="2:6" x14ac:dyDescent="0.3">
      <c r="B81" s="1">
        <v>10302</v>
      </c>
      <c r="C81" t="s">
        <v>90</v>
      </c>
      <c r="D81" t="s">
        <v>452</v>
      </c>
      <c r="E81" s="17" t="s">
        <v>345</v>
      </c>
      <c r="F81" s="17"/>
    </row>
    <row r="82" spans="2:6" x14ac:dyDescent="0.3">
      <c r="B82" s="1">
        <v>10303</v>
      </c>
      <c r="C82" t="s">
        <v>90</v>
      </c>
      <c r="D82" t="s">
        <v>453</v>
      </c>
      <c r="E82" s="17" t="s">
        <v>345</v>
      </c>
      <c r="F82" s="17"/>
    </row>
    <row r="83" spans="2:6" x14ac:dyDescent="0.3">
      <c r="B83" s="1">
        <v>10304</v>
      </c>
      <c r="C83" t="s">
        <v>90</v>
      </c>
      <c r="D83" t="s">
        <v>454</v>
      </c>
      <c r="E83" s="17" t="s">
        <v>345</v>
      </c>
      <c r="F83" s="17"/>
    </row>
    <row r="84" spans="2:6" x14ac:dyDescent="0.3">
      <c r="B84" s="1">
        <v>10305</v>
      </c>
      <c r="C84" t="s">
        <v>90</v>
      </c>
      <c r="D84" t="s">
        <v>455</v>
      </c>
      <c r="E84" s="17" t="s">
        <v>345</v>
      </c>
      <c r="F84" s="17"/>
    </row>
    <row r="85" spans="2:6" x14ac:dyDescent="0.3">
      <c r="B85" s="1">
        <v>10306</v>
      </c>
      <c r="C85" t="s">
        <v>90</v>
      </c>
      <c r="D85" t="s">
        <v>456</v>
      </c>
      <c r="E85" s="17" t="s">
        <v>345</v>
      </c>
      <c r="F85" s="17"/>
    </row>
    <row r="86" spans="2:6" x14ac:dyDescent="0.3">
      <c r="B86" s="1">
        <v>10307</v>
      </c>
      <c r="C86" t="s">
        <v>90</v>
      </c>
      <c r="D86" t="s">
        <v>457</v>
      </c>
      <c r="E86" s="17" t="s">
        <v>345</v>
      </c>
      <c r="F86" s="17"/>
    </row>
    <row r="87" spans="2:6" x14ac:dyDescent="0.3">
      <c r="B87" s="1">
        <v>10308</v>
      </c>
      <c r="C87" t="s">
        <v>861</v>
      </c>
      <c r="D87" t="s">
        <v>862</v>
      </c>
      <c r="E87" s="17" t="s">
        <v>345</v>
      </c>
      <c r="F87" s="17"/>
    </row>
    <row r="88" spans="2:6" x14ac:dyDescent="0.3">
      <c r="B88" s="1">
        <v>10401</v>
      </c>
      <c r="C88" t="s">
        <v>98</v>
      </c>
      <c r="D88" t="s">
        <v>553</v>
      </c>
      <c r="E88" s="17" t="s">
        <v>346</v>
      </c>
      <c r="F88" s="17"/>
    </row>
    <row r="89" spans="2:6" x14ac:dyDescent="0.3">
      <c r="B89" s="1">
        <v>10402</v>
      </c>
      <c r="C89" t="s">
        <v>98</v>
      </c>
      <c r="D89" t="s">
        <v>554</v>
      </c>
      <c r="E89" s="17" t="s">
        <v>346</v>
      </c>
      <c r="F89" s="17"/>
    </row>
    <row r="90" spans="2:6" x14ac:dyDescent="0.3">
      <c r="B90" s="1">
        <v>10403</v>
      </c>
      <c r="C90" t="s">
        <v>98</v>
      </c>
      <c r="D90" t="s">
        <v>555</v>
      </c>
      <c r="E90" s="17" t="s">
        <v>346</v>
      </c>
      <c r="F90" s="17"/>
    </row>
    <row r="91" spans="2:6" x14ac:dyDescent="0.3">
      <c r="B91" s="1">
        <v>10404</v>
      </c>
      <c r="C91" t="s">
        <v>98</v>
      </c>
      <c r="D91" t="s">
        <v>556</v>
      </c>
      <c r="E91" s="17" t="s">
        <v>346</v>
      </c>
      <c r="F91" s="17"/>
    </row>
    <row r="92" spans="2:6" x14ac:dyDescent="0.3">
      <c r="B92" s="1">
        <v>10405</v>
      </c>
      <c r="C92" t="s">
        <v>98</v>
      </c>
      <c r="D92" t="s">
        <v>557</v>
      </c>
      <c r="E92" s="17" t="s">
        <v>346</v>
      </c>
      <c r="F92" s="17"/>
    </row>
    <row r="93" spans="2:6" x14ac:dyDescent="0.3">
      <c r="B93" s="1">
        <v>10406</v>
      </c>
      <c r="C93" t="s">
        <v>98</v>
      </c>
      <c r="D93" t="s">
        <v>558</v>
      </c>
      <c r="E93" s="17" t="s">
        <v>346</v>
      </c>
      <c r="F93" s="17"/>
    </row>
    <row r="94" spans="2:6" x14ac:dyDescent="0.3">
      <c r="B94" s="1">
        <v>10407</v>
      </c>
      <c r="C94" t="s">
        <v>98</v>
      </c>
      <c r="D94" t="s">
        <v>559</v>
      </c>
      <c r="E94" s="17" t="s">
        <v>346</v>
      </c>
      <c r="F94" s="17"/>
    </row>
    <row r="95" spans="2:6" x14ac:dyDescent="0.3">
      <c r="B95" s="1">
        <v>10408</v>
      </c>
      <c r="C95" t="s">
        <v>863</v>
      </c>
      <c r="D95" t="s">
        <v>864</v>
      </c>
      <c r="E95" s="17" t="s">
        <v>346</v>
      </c>
      <c r="F95" s="17"/>
    </row>
    <row r="96" spans="2:6" x14ac:dyDescent="0.3">
      <c r="B96" s="1">
        <v>10501</v>
      </c>
      <c r="C96" t="s">
        <v>106</v>
      </c>
      <c r="D96" t="s">
        <v>560</v>
      </c>
      <c r="E96" s="17" t="s">
        <v>346</v>
      </c>
      <c r="F96" s="17"/>
    </row>
    <row r="97" spans="2:6" x14ac:dyDescent="0.3">
      <c r="B97" s="1">
        <v>10502</v>
      </c>
      <c r="C97" t="s">
        <v>106</v>
      </c>
      <c r="D97" t="s">
        <v>561</v>
      </c>
      <c r="E97" s="17" t="s">
        <v>346</v>
      </c>
      <c r="F97" s="17"/>
    </row>
    <row r="98" spans="2:6" x14ac:dyDescent="0.3">
      <c r="B98" s="1">
        <v>10503</v>
      </c>
      <c r="C98" t="s">
        <v>106</v>
      </c>
      <c r="D98" t="s">
        <v>562</v>
      </c>
      <c r="E98" s="17" t="s">
        <v>346</v>
      </c>
      <c r="F98" s="17"/>
    </row>
    <row r="99" spans="2:6" x14ac:dyDescent="0.3">
      <c r="B99" s="1">
        <v>10504</v>
      </c>
      <c r="C99" t="s">
        <v>106</v>
      </c>
      <c r="D99" t="s">
        <v>563</v>
      </c>
      <c r="E99" s="17" t="s">
        <v>346</v>
      </c>
      <c r="F99" s="17"/>
    </row>
    <row r="100" spans="2:6" x14ac:dyDescent="0.3">
      <c r="B100" s="1">
        <v>10505</v>
      </c>
      <c r="C100" t="s">
        <v>106</v>
      </c>
      <c r="D100" t="s">
        <v>564</v>
      </c>
      <c r="E100" s="17" t="s">
        <v>346</v>
      </c>
      <c r="F100" s="17"/>
    </row>
    <row r="101" spans="2:6" x14ac:dyDescent="0.3">
      <c r="B101" s="1">
        <v>10506</v>
      </c>
      <c r="C101" t="s">
        <v>106</v>
      </c>
      <c r="D101" t="s">
        <v>565</v>
      </c>
      <c r="E101" s="17" t="s">
        <v>346</v>
      </c>
      <c r="F101" s="17"/>
    </row>
    <row r="102" spans="2:6" x14ac:dyDescent="0.3">
      <c r="B102" s="1">
        <v>10507</v>
      </c>
      <c r="C102" t="s">
        <v>106</v>
      </c>
      <c r="D102" t="s">
        <v>566</v>
      </c>
      <c r="E102" s="17" t="s">
        <v>346</v>
      </c>
      <c r="F102" s="17"/>
    </row>
    <row r="103" spans="2:6" x14ac:dyDescent="0.3">
      <c r="B103" s="1">
        <v>10508</v>
      </c>
      <c r="C103" t="s">
        <v>865</v>
      </c>
      <c r="D103" t="s">
        <v>866</v>
      </c>
      <c r="E103" s="17" t="s">
        <v>346</v>
      </c>
      <c r="F103" s="17"/>
    </row>
    <row r="104" spans="2:6" x14ac:dyDescent="0.3">
      <c r="B104" s="1">
        <v>10601</v>
      </c>
      <c r="C104" t="s">
        <v>114</v>
      </c>
      <c r="D104" t="s">
        <v>567</v>
      </c>
      <c r="E104" s="17" t="s">
        <v>346</v>
      </c>
      <c r="F104" s="17"/>
    </row>
    <row r="105" spans="2:6" x14ac:dyDescent="0.3">
      <c r="B105" s="1">
        <v>10602</v>
      </c>
      <c r="C105" t="s">
        <v>114</v>
      </c>
      <c r="D105" t="s">
        <v>568</v>
      </c>
      <c r="E105" s="17" t="s">
        <v>346</v>
      </c>
      <c r="F105" s="17"/>
    </row>
    <row r="106" spans="2:6" x14ac:dyDescent="0.3">
      <c r="B106" s="1">
        <v>10603</v>
      </c>
      <c r="C106" t="s">
        <v>114</v>
      </c>
      <c r="D106" t="s">
        <v>569</v>
      </c>
      <c r="E106" s="17" t="s">
        <v>346</v>
      </c>
      <c r="F106" s="17"/>
    </row>
    <row r="107" spans="2:6" x14ac:dyDescent="0.3">
      <c r="B107" s="1">
        <v>10604</v>
      </c>
      <c r="C107" t="s">
        <v>114</v>
      </c>
      <c r="D107" t="s">
        <v>570</v>
      </c>
      <c r="E107" s="17" t="s">
        <v>346</v>
      </c>
      <c r="F107" s="17"/>
    </row>
    <row r="108" spans="2:6" x14ac:dyDescent="0.3">
      <c r="B108" s="1">
        <v>10605</v>
      </c>
      <c r="C108" t="s">
        <v>114</v>
      </c>
      <c r="D108" t="s">
        <v>571</v>
      </c>
      <c r="E108" s="17" t="s">
        <v>346</v>
      </c>
      <c r="F108" s="17"/>
    </row>
    <row r="109" spans="2:6" x14ac:dyDescent="0.3">
      <c r="B109" s="1">
        <v>10606</v>
      </c>
      <c r="C109" t="s">
        <v>114</v>
      </c>
      <c r="D109" t="s">
        <v>572</v>
      </c>
      <c r="E109" s="17" t="s">
        <v>346</v>
      </c>
      <c r="F109" s="17"/>
    </row>
    <row r="110" spans="2:6" x14ac:dyDescent="0.3">
      <c r="B110" s="1">
        <v>10607</v>
      </c>
      <c r="C110" t="s">
        <v>114</v>
      </c>
      <c r="D110" t="s">
        <v>573</v>
      </c>
      <c r="E110" s="17" t="s">
        <v>346</v>
      </c>
      <c r="F110" s="17"/>
    </row>
    <row r="111" spans="2:6" x14ac:dyDescent="0.3">
      <c r="B111" s="1">
        <v>10608</v>
      </c>
      <c r="C111" t="s">
        <v>867</v>
      </c>
      <c r="D111" t="s">
        <v>868</v>
      </c>
      <c r="E111" s="17" t="s">
        <v>346</v>
      </c>
      <c r="F111" s="17"/>
    </row>
    <row r="112" spans="2:6" x14ac:dyDescent="0.3">
      <c r="B112" s="1">
        <v>10701</v>
      </c>
      <c r="C112" t="s">
        <v>122</v>
      </c>
      <c r="D112" t="s">
        <v>574</v>
      </c>
      <c r="E112" s="17" t="s">
        <v>346</v>
      </c>
      <c r="F112" s="17"/>
    </row>
    <row r="113" spans="2:6" x14ac:dyDescent="0.3">
      <c r="B113" s="1">
        <v>10702</v>
      </c>
      <c r="C113" t="s">
        <v>122</v>
      </c>
      <c r="D113" t="s">
        <v>575</v>
      </c>
      <c r="E113" s="17" t="s">
        <v>346</v>
      </c>
      <c r="F113" s="17"/>
    </row>
    <row r="114" spans="2:6" x14ac:dyDescent="0.3">
      <c r="B114" s="1">
        <v>10703</v>
      </c>
      <c r="C114" t="s">
        <v>122</v>
      </c>
      <c r="D114" t="s">
        <v>576</v>
      </c>
      <c r="E114" s="17" t="s">
        <v>346</v>
      </c>
      <c r="F114" s="17"/>
    </row>
    <row r="115" spans="2:6" x14ac:dyDescent="0.3">
      <c r="B115" s="1">
        <v>10704</v>
      </c>
      <c r="C115" t="s">
        <v>122</v>
      </c>
      <c r="D115" t="s">
        <v>577</v>
      </c>
      <c r="E115" s="17" t="s">
        <v>346</v>
      </c>
      <c r="F115" s="17"/>
    </row>
    <row r="116" spans="2:6" x14ac:dyDescent="0.3">
      <c r="B116" s="1">
        <v>10705</v>
      </c>
      <c r="C116" t="s">
        <v>122</v>
      </c>
      <c r="D116" t="s">
        <v>578</v>
      </c>
      <c r="E116" s="17" t="s">
        <v>346</v>
      </c>
      <c r="F116" s="17"/>
    </row>
    <row r="117" spans="2:6" x14ac:dyDescent="0.3">
      <c r="B117" s="1">
        <v>10706</v>
      </c>
      <c r="C117" t="s">
        <v>122</v>
      </c>
      <c r="D117" t="s">
        <v>579</v>
      </c>
      <c r="E117" s="17" t="s">
        <v>346</v>
      </c>
      <c r="F117" s="17"/>
    </row>
    <row r="118" spans="2:6" x14ac:dyDescent="0.3">
      <c r="B118" s="1">
        <v>10707</v>
      </c>
      <c r="C118" t="s">
        <v>122</v>
      </c>
      <c r="D118" t="s">
        <v>580</v>
      </c>
      <c r="E118" s="17" t="s">
        <v>346</v>
      </c>
      <c r="F118" s="17"/>
    </row>
    <row r="119" spans="2:6" x14ac:dyDescent="0.3">
      <c r="B119" s="1">
        <v>10708</v>
      </c>
      <c r="C119" t="s">
        <v>869</v>
      </c>
      <c r="D119" t="s">
        <v>870</v>
      </c>
      <c r="E119" s="17" t="s">
        <v>346</v>
      </c>
      <c r="F119" s="17"/>
    </row>
    <row r="120" spans="2:6" x14ac:dyDescent="0.3">
      <c r="B120" s="1">
        <v>10801</v>
      </c>
      <c r="C120" t="s">
        <v>130</v>
      </c>
      <c r="D120" t="s">
        <v>581</v>
      </c>
      <c r="E120" s="17" t="s">
        <v>347</v>
      </c>
      <c r="F120" s="17"/>
    </row>
    <row r="121" spans="2:6" x14ac:dyDescent="0.3">
      <c r="B121" s="1">
        <v>10802</v>
      </c>
      <c r="C121" t="s">
        <v>130</v>
      </c>
      <c r="D121" t="s">
        <v>582</v>
      </c>
      <c r="E121" s="17" t="s">
        <v>347</v>
      </c>
      <c r="F121" s="17"/>
    </row>
    <row r="122" spans="2:6" x14ac:dyDescent="0.3">
      <c r="B122" s="1">
        <v>10803</v>
      </c>
      <c r="C122" t="s">
        <v>130</v>
      </c>
      <c r="D122" t="s">
        <v>583</v>
      </c>
      <c r="E122" s="17" t="s">
        <v>347</v>
      </c>
      <c r="F122" s="17"/>
    </row>
    <row r="123" spans="2:6" x14ac:dyDescent="0.3">
      <c r="B123" s="1">
        <v>10804</v>
      </c>
      <c r="C123" t="s">
        <v>130</v>
      </c>
      <c r="D123" t="s">
        <v>584</v>
      </c>
      <c r="E123" s="17" t="s">
        <v>347</v>
      </c>
      <c r="F123" s="17"/>
    </row>
    <row r="124" spans="2:6" x14ac:dyDescent="0.3">
      <c r="B124" s="1">
        <v>10805</v>
      </c>
      <c r="C124" t="s">
        <v>130</v>
      </c>
      <c r="D124" t="s">
        <v>585</v>
      </c>
      <c r="E124" s="17" t="s">
        <v>347</v>
      </c>
      <c r="F124" s="17"/>
    </row>
    <row r="125" spans="2:6" x14ac:dyDescent="0.3">
      <c r="B125" s="1">
        <v>10806</v>
      </c>
      <c r="C125" t="s">
        <v>130</v>
      </c>
      <c r="D125" t="s">
        <v>586</v>
      </c>
      <c r="E125" s="17" t="s">
        <v>347</v>
      </c>
      <c r="F125" s="17"/>
    </row>
    <row r="126" spans="2:6" x14ac:dyDescent="0.3">
      <c r="B126" s="1">
        <v>10807</v>
      </c>
      <c r="C126" t="s">
        <v>130</v>
      </c>
      <c r="D126" t="s">
        <v>587</v>
      </c>
      <c r="E126" s="17" t="s">
        <v>347</v>
      </c>
      <c r="F126" s="17"/>
    </row>
    <row r="127" spans="2:6" x14ac:dyDescent="0.3">
      <c r="B127" s="1">
        <v>10808</v>
      </c>
      <c r="C127" t="s">
        <v>871</v>
      </c>
      <c r="D127" t="s">
        <v>872</v>
      </c>
      <c r="E127" s="17" t="s">
        <v>347</v>
      </c>
      <c r="F127" s="17"/>
    </row>
    <row r="128" spans="2:6" x14ac:dyDescent="0.3">
      <c r="B128" s="1">
        <v>10901</v>
      </c>
      <c r="C128" t="s">
        <v>138</v>
      </c>
      <c r="D128" t="s">
        <v>588</v>
      </c>
      <c r="E128" s="17" t="s">
        <v>347</v>
      </c>
      <c r="F128" s="17"/>
    </row>
    <row r="129" spans="2:6" x14ac:dyDescent="0.3">
      <c r="B129" s="1">
        <v>10902</v>
      </c>
      <c r="C129" t="s">
        <v>138</v>
      </c>
      <c r="D129" t="s">
        <v>589</v>
      </c>
      <c r="E129" s="17" t="s">
        <v>347</v>
      </c>
      <c r="F129" s="17"/>
    </row>
    <row r="130" spans="2:6" x14ac:dyDescent="0.3">
      <c r="B130" s="1">
        <v>10903</v>
      </c>
      <c r="C130" t="s">
        <v>138</v>
      </c>
      <c r="D130" t="s">
        <v>590</v>
      </c>
      <c r="E130" s="17" t="s">
        <v>347</v>
      </c>
      <c r="F130" s="17"/>
    </row>
    <row r="131" spans="2:6" x14ac:dyDescent="0.3">
      <c r="B131" s="1">
        <v>10904</v>
      </c>
      <c r="C131" t="s">
        <v>138</v>
      </c>
      <c r="D131" t="s">
        <v>591</v>
      </c>
      <c r="E131" s="17" t="s">
        <v>347</v>
      </c>
      <c r="F131" s="17"/>
    </row>
    <row r="132" spans="2:6" x14ac:dyDescent="0.3">
      <c r="B132" s="1">
        <v>10905</v>
      </c>
      <c r="C132" t="s">
        <v>138</v>
      </c>
      <c r="D132" t="s">
        <v>592</v>
      </c>
      <c r="E132" s="17" t="s">
        <v>347</v>
      </c>
      <c r="F132" s="17"/>
    </row>
    <row r="133" spans="2:6" x14ac:dyDescent="0.3">
      <c r="B133" s="1">
        <v>10906</v>
      </c>
      <c r="C133" t="s">
        <v>138</v>
      </c>
      <c r="D133" t="s">
        <v>593</v>
      </c>
      <c r="E133" s="17" t="s">
        <v>347</v>
      </c>
      <c r="F133" s="17"/>
    </row>
    <row r="134" spans="2:6" x14ac:dyDescent="0.3">
      <c r="B134" s="1">
        <v>10907</v>
      </c>
      <c r="C134" t="s">
        <v>138</v>
      </c>
      <c r="D134" t="s">
        <v>594</v>
      </c>
      <c r="E134" s="17" t="s">
        <v>347</v>
      </c>
      <c r="F134" s="17"/>
    </row>
    <row r="135" spans="2:6" x14ac:dyDescent="0.3">
      <c r="B135" s="1">
        <v>10908</v>
      </c>
      <c r="C135" t="s">
        <v>873</v>
      </c>
      <c r="D135" t="s">
        <v>874</v>
      </c>
      <c r="E135" s="17" t="s">
        <v>347</v>
      </c>
      <c r="F135" s="17"/>
    </row>
    <row r="136" spans="2:6" x14ac:dyDescent="0.3">
      <c r="B136" s="1">
        <v>11001</v>
      </c>
      <c r="C136" t="s">
        <v>146</v>
      </c>
      <c r="D136" t="s">
        <v>595</v>
      </c>
      <c r="E136" s="17" t="s">
        <v>347</v>
      </c>
      <c r="F136" s="17"/>
    </row>
    <row r="137" spans="2:6" x14ac:dyDescent="0.3">
      <c r="B137" s="1">
        <v>11002</v>
      </c>
      <c r="C137" t="s">
        <v>146</v>
      </c>
      <c r="D137" t="s">
        <v>596</v>
      </c>
      <c r="E137" s="17" t="s">
        <v>347</v>
      </c>
      <c r="F137" s="17"/>
    </row>
    <row r="138" spans="2:6" x14ac:dyDescent="0.3">
      <c r="B138" s="1">
        <v>11003</v>
      </c>
      <c r="C138" t="s">
        <v>146</v>
      </c>
      <c r="D138" t="s">
        <v>597</v>
      </c>
      <c r="E138" s="17" t="s">
        <v>347</v>
      </c>
      <c r="F138" s="17"/>
    </row>
    <row r="139" spans="2:6" x14ac:dyDescent="0.3">
      <c r="B139" s="1">
        <v>11004</v>
      </c>
      <c r="C139" t="s">
        <v>146</v>
      </c>
      <c r="D139" t="s">
        <v>598</v>
      </c>
      <c r="E139" s="17" t="s">
        <v>347</v>
      </c>
      <c r="F139" s="17"/>
    </row>
    <row r="140" spans="2:6" x14ac:dyDescent="0.3">
      <c r="B140" s="1">
        <v>11005</v>
      </c>
      <c r="C140" t="s">
        <v>146</v>
      </c>
      <c r="D140" t="s">
        <v>599</v>
      </c>
      <c r="E140" s="17" t="s">
        <v>347</v>
      </c>
      <c r="F140" s="17"/>
    </row>
    <row r="141" spans="2:6" x14ac:dyDescent="0.3">
      <c r="B141" s="1">
        <v>11006</v>
      </c>
      <c r="C141" t="s">
        <v>146</v>
      </c>
      <c r="D141" t="s">
        <v>600</v>
      </c>
      <c r="E141" s="17" t="s">
        <v>347</v>
      </c>
      <c r="F141" s="17"/>
    </row>
    <row r="142" spans="2:6" x14ac:dyDescent="0.3">
      <c r="B142" s="1">
        <v>11007</v>
      </c>
      <c r="C142" t="s">
        <v>146</v>
      </c>
      <c r="D142" t="s">
        <v>601</v>
      </c>
      <c r="E142" s="17" t="s">
        <v>347</v>
      </c>
      <c r="F142" s="17"/>
    </row>
    <row r="143" spans="2:6" x14ac:dyDescent="0.3">
      <c r="B143" s="1">
        <v>11008</v>
      </c>
      <c r="C143" t="s">
        <v>875</v>
      </c>
      <c r="D143" t="s">
        <v>876</v>
      </c>
      <c r="E143" s="17" t="s">
        <v>347</v>
      </c>
      <c r="F143" s="17"/>
    </row>
    <row r="144" spans="2:6" x14ac:dyDescent="0.3">
      <c r="B144" s="1">
        <v>11101</v>
      </c>
      <c r="C144" t="s">
        <v>154</v>
      </c>
      <c r="D144" t="s">
        <v>602</v>
      </c>
      <c r="E144" s="17" t="s">
        <v>347</v>
      </c>
      <c r="F144" s="17"/>
    </row>
    <row r="145" spans="2:6" x14ac:dyDescent="0.3">
      <c r="B145" s="1">
        <v>11102</v>
      </c>
      <c r="C145" t="s">
        <v>154</v>
      </c>
      <c r="D145" t="s">
        <v>603</v>
      </c>
      <c r="E145" s="17" t="s">
        <v>347</v>
      </c>
      <c r="F145" s="17"/>
    </row>
    <row r="146" spans="2:6" x14ac:dyDescent="0.3">
      <c r="B146" s="1">
        <v>11103</v>
      </c>
      <c r="C146" t="s">
        <v>154</v>
      </c>
      <c r="D146" t="s">
        <v>604</v>
      </c>
      <c r="E146" s="17" t="s">
        <v>347</v>
      </c>
      <c r="F146" s="17"/>
    </row>
    <row r="147" spans="2:6" x14ac:dyDescent="0.3">
      <c r="B147" s="1">
        <v>11104</v>
      </c>
      <c r="C147" t="s">
        <v>154</v>
      </c>
      <c r="D147" t="s">
        <v>605</v>
      </c>
      <c r="E147" s="17" t="s">
        <v>347</v>
      </c>
      <c r="F147" s="17"/>
    </row>
    <row r="148" spans="2:6" x14ac:dyDescent="0.3">
      <c r="B148" s="1">
        <v>11105</v>
      </c>
      <c r="C148" t="s">
        <v>154</v>
      </c>
      <c r="D148" t="s">
        <v>606</v>
      </c>
      <c r="E148" s="17" t="s">
        <v>347</v>
      </c>
      <c r="F148" s="17"/>
    </row>
    <row r="149" spans="2:6" x14ac:dyDescent="0.3">
      <c r="B149" s="1">
        <v>11106</v>
      </c>
      <c r="C149" t="s">
        <v>154</v>
      </c>
      <c r="D149" t="s">
        <v>607</v>
      </c>
      <c r="E149" s="17" t="s">
        <v>347</v>
      </c>
      <c r="F149" s="17"/>
    </row>
    <row r="150" spans="2:6" x14ac:dyDescent="0.3">
      <c r="B150" s="1">
        <v>11107</v>
      </c>
      <c r="C150" t="s">
        <v>154</v>
      </c>
      <c r="D150" t="s">
        <v>608</v>
      </c>
      <c r="E150" s="17" t="s">
        <v>347</v>
      </c>
      <c r="F150" s="17"/>
    </row>
    <row r="151" spans="2:6" x14ac:dyDescent="0.3">
      <c r="B151" s="1">
        <v>11108</v>
      </c>
      <c r="C151" t="s">
        <v>877</v>
      </c>
      <c r="D151" t="s">
        <v>878</v>
      </c>
      <c r="E151" s="17" t="s">
        <v>347</v>
      </c>
      <c r="F151" s="17"/>
    </row>
    <row r="152" spans="2:6" x14ac:dyDescent="0.3">
      <c r="B152" s="1">
        <v>11201</v>
      </c>
      <c r="C152" t="s">
        <v>162</v>
      </c>
      <c r="D152" t="s">
        <v>609</v>
      </c>
      <c r="E152" s="17" t="s">
        <v>347</v>
      </c>
      <c r="F152" s="17"/>
    </row>
    <row r="153" spans="2:6" x14ac:dyDescent="0.3">
      <c r="B153" s="1">
        <v>11202</v>
      </c>
      <c r="C153" t="s">
        <v>162</v>
      </c>
      <c r="D153" t="s">
        <v>610</v>
      </c>
      <c r="E153" s="17" t="s">
        <v>347</v>
      </c>
      <c r="F153" s="17"/>
    </row>
    <row r="154" spans="2:6" x14ac:dyDescent="0.3">
      <c r="B154" s="1">
        <v>11203</v>
      </c>
      <c r="C154" t="s">
        <v>162</v>
      </c>
      <c r="D154" t="s">
        <v>611</v>
      </c>
      <c r="E154" s="17" t="s">
        <v>347</v>
      </c>
      <c r="F154" s="17"/>
    </row>
    <row r="155" spans="2:6" x14ac:dyDescent="0.3">
      <c r="B155" s="1">
        <v>11204</v>
      </c>
      <c r="C155" t="s">
        <v>162</v>
      </c>
      <c r="D155" t="s">
        <v>612</v>
      </c>
      <c r="E155" s="17" t="s">
        <v>347</v>
      </c>
      <c r="F155" s="17"/>
    </row>
    <row r="156" spans="2:6" x14ac:dyDescent="0.3">
      <c r="B156" s="1">
        <v>11205</v>
      </c>
      <c r="C156" t="s">
        <v>162</v>
      </c>
      <c r="D156" t="s">
        <v>613</v>
      </c>
      <c r="E156" s="17" t="s">
        <v>347</v>
      </c>
      <c r="F156" s="17"/>
    </row>
    <row r="157" spans="2:6" x14ac:dyDescent="0.3">
      <c r="B157" s="1">
        <v>11206</v>
      </c>
      <c r="C157" t="s">
        <v>162</v>
      </c>
      <c r="D157" t="s">
        <v>614</v>
      </c>
      <c r="E157" s="17" t="s">
        <v>347</v>
      </c>
      <c r="F157" s="17"/>
    </row>
    <row r="158" spans="2:6" x14ac:dyDescent="0.3">
      <c r="B158" s="1">
        <v>11207</v>
      </c>
      <c r="C158" t="s">
        <v>162</v>
      </c>
      <c r="D158" t="s">
        <v>615</v>
      </c>
      <c r="E158" s="17" t="s">
        <v>347</v>
      </c>
      <c r="F158" s="17"/>
    </row>
    <row r="159" spans="2:6" x14ac:dyDescent="0.3">
      <c r="B159" s="1">
        <v>11208</v>
      </c>
      <c r="C159" t="s">
        <v>879</v>
      </c>
      <c r="D159" t="s">
        <v>880</v>
      </c>
      <c r="E159" s="17" t="s">
        <v>347</v>
      </c>
      <c r="F159" s="17"/>
    </row>
    <row r="160" spans="2:6" x14ac:dyDescent="0.3">
      <c r="B160" s="1">
        <v>11301</v>
      </c>
      <c r="C160" t="s">
        <v>170</v>
      </c>
      <c r="D160" t="s">
        <v>616</v>
      </c>
      <c r="E160" s="17" t="s">
        <v>346</v>
      </c>
      <c r="F160" s="17"/>
    </row>
    <row r="161" spans="2:6" x14ac:dyDescent="0.3">
      <c r="B161" s="1">
        <v>11302</v>
      </c>
      <c r="C161" t="s">
        <v>170</v>
      </c>
      <c r="D161" t="s">
        <v>617</v>
      </c>
      <c r="E161" s="17" t="s">
        <v>346</v>
      </c>
      <c r="F161" s="17"/>
    </row>
    <row r="162" spans="2:6" x14ac:dyDescent="0.3">
      <c r="B162" s="1">
        <v>11303</v>
      </c>
      <c r="C162" t="s">
        <v>170</v>
      </c>
      <c r="D162" t="s">
        <v>618</v>
      </c>
      <c r="E162" s="17" t="s">
        <v>346</v>
      </c>
      <c r="F162" s="17"/>
    </row>
    <row r="163" spans="2:6" x14ac:dyDescent="0.3">
      <c r="B163" s="1">
        <v>11304</v>
      </c>
      <c r="C163" t="s">
        <v>170</v>
      </c>
      <c r="D163" t="s">
        <v>619</v>
      </c>
      <c r="E163" s="17" t="s">
        <v>346</v>
      </c>
      <c r="F163" s="17"/>
    </row>
    <row r="164" spans="2:6" x14ac:dyDescent="0.3">
      <c r="B164" s="1">
        <v>11305</v>
      </c>
      <c r="C164" t="s">
        <v>170</v>
      </c>
      <c r="D164" t="s">
        <v>620</v>
      </c>
      <c r="E164" s="17" t="s">
        <v>346</v>
      </c>
      <c r="F164" s="17"/>
    </row>
    <row r="165" spans="2:6" x14ac:dyDescent="0.3">
      <c r="B165" s="1">
        <v>11306</v>
      </c>
      <c r="C165" t="s">
        <v>170</v>
      </c>
      <c r="D165" t="s">
        <v>621</v>
      </c>
      <c r="E165" s="17" t="s">
        <v>346</v>
      </c>
      <c r="F165" s="17"/>
    </row>
    <row r="166" spans="2:6" x14ac:dyDescent="0.3">
      <c r="B166" s="1">
        <v>11307</v>
      </c>
      <c r="C166" t="s">
        <v>170</v>
      </c>
      <c r="D166" t="s">
        <v>622</v>
      </c>
      <c r="E166" s="17" t="s">
        <v>346</v>
      </c>
      <c r="F166" s="17"/>
    </row>
    <row r="167" spans="2:6" x14ac:dyDescent="0.3">
      <c r="B167" s="1">
        <v>11308</v>
      </c>
      <c r="C167" t="s">
        <v>881</v>
      </c>
      <c r="D167" t="s">
        <v>882</v>
      </c>
      <c r="E167" s="17" t="s">
        <v>346</v>
      </c>
      <c r="F167" s="17"/>
    </row>
    <row r="168" spans="2:6" x14ac:dyDescent="0.3">
      <c r="B168" s="1">
        <v>11401</v>
      </c>
      <c r="C168" t="s">
        <v>178</v>
      </c>
      <c r="D168" t="s">
        <v>458</v>
      </c>
      <c r="E168" s="17" t="s">
        <v>346</v>
      </c>
      <c r="F168" s="17"/>
    </row>
    <row r="169" spans="2:6" x14ac:dyDescent="0.3">
      <c r="B169" s="1">
        <v>11402</v>
      </c>
      <c r="C169" t="s">
        <v>178</v>
      </c>
      <c r="D169" t="s">
        <v>459</v>
      </c>
      <c r="E169" s="17" t="s">
        <v>346</v>
      </c>
      <c r="F169" s="17"/>
    </row>
    <row r="170" spans="2:6" x14ac:dyDescent="0.3">
      <c r="B170" s="1">
        <v>11403</v>
      </c>
      <c r="C170" t="s">
        <v>178</v>
      </c>
      <c r="D170" t="s">
        <v>460</v>
      </c>
      <c r="E170" s="17" t="s">
        <v>346</v>
      </c>
      <c r="F170" s="17"/>
    </row>
    <row r="171" spans="2:6" x14ac:dyDescent="0.3">
      <c r="B171" s="1">
        <v>11404</v>
      </c>
      <c r="C171" t="s">
        <v>178</v>
      </c>
      <c r="D171" t="s">
        <v>461</v>
      </c>
      <c r="E171" s="17" t="s">
        <v>346</v>
      </c>
      <c r="F171" s="17"/>
    </row>
    <row r="172" spans="2:6" x14ac:dyDescent="0.3">
      <c r="B172" s="1">
        <v>11405</v>
      </c>
      <c r="C172" t="s">
        <v>178</v>
      </c>
      <c r="D172" t="s">
        <v>462</v>
      </c>
      <c r="E172" s="17" t="s">
        <v>346</v>
      </c>
      <c r="F172" s="17"/>
    </row>
    <row r="173" spans="2:6" x14ac:dyDescent="0.3">
      <c r="B173" s="1">
        <v>11406</v>
      </c>
      <c r="C173" t="s">
        <v>178</v>
      </c>
      <c r="D173" t="s">
        <v>463</v>
      </c>
      <c r="E173" s="17" t="s">
        <v>346</v>
      </c>
      <c r="F173" s="17"/>
    </row>
    <row r="174" spans="2:6" x14ac:dyDescent="0.3">
      <c r="B174" s="1">
        <v>11407</v>
      </c>
      <c r="C174" t="s">
        <v>178</v>
      </c>
      <c r="D174" t="s">
        <v>464</v>
      </c>
      <c r="E174" s="17" t="s">
        <v>346</v>
      </c>
      <c r="F174" s="17"/>
    </row>
    <row r="175" spans="2:6" x14ac:dyDescent="0.3">
      <c r="B175" s="1">
        <v>11408</v>
      </c>
      <c r="C175" t="s">
        <v>883</v>
      </c>
      <c r="D175" t="s">
        <v>884</v>
      </c>
      <c r="E175" s="17" t="s">
        <v>346</v>
      </c>
      <c r="F175" s="17"/>
    </row>
    <row r="176" spans="2:6" x14ac:dyDescent="0.3">
      <c r="B176" s="1">
        <v>11501</v>
      </c>
      <c r="C176" t="s">
        <v>186</v>
      </c>
      <c r="D176" t="s">
        <v>623</v>
      </c>
      <c r="E176" s="17" t="s">
        <v>348</v>
      </c>
      <c r="F176" s="17"/>
    </row>
    <row r="177" spans="2:6" x14ac:dyDescent="0.3">
      <c r="B177" s="1">
        <v>11502</v>
      </c>
      <c r="C177" t="s">
        <v>186</v>
      </c>
      <c r="D177" t="s">
        <v>624</v>
      </c>
      <c r="E177" s="17" t="s">
        <v>348</v>
      </c>
      <c r="F177" s="17"/>
    </row>
    <row r="178" spans="2:6" x14ac:dyDescent="0.3">
      <c r="B178" s="1">
        <v>11503</v>
      </c>
      <c r="C178" t="s">
        <v>186</v>
      </c>
      <c r="D178" t="s">
        <v>625</v>
      </c>
      <c r="E178" s="17" t="s">
        <v>348</v>
      </c>
      <c r="F178" s="17"/>
    </row>
    <row r="179" spans="2:6" x14ac:dyDescent="0.3">
      <c r="B179" s="1">
        <v>11504</v>
      </c>
      <c r="C179" t="s">
        <v>186</v>
      </c>
      <c r="D179" t="s">
        <v>626</v>
      </c>
      <c r="E179" s="17" t="s">
        <v>348</v>
      </c>
      <c r="F179" s="17"/>
    </row>
    <row r="180" spans="2:6" x14ac:dyDescent="0.3">
      <c r="B180" s="1">
        <v>11505</v>
      </c>
      <c r="C180" t="s">
        <v>186</v>
      </c>
      <c r="D180" t="s">
        <v>627</v>
      </c>
      <c r="E180" s="17" t="s">
        <v>348</v>
      </c>
      <c r="F180" s="17"/>
    </row>
    <row r="181" spans="2:6" x14ac:dyDescent="0.3">
      <c r="B181" s="1">
        <v>11506</v>
      </c>
      <c r="C181" t="s">
        <v>186</v>
      </c>
      <c r="D181" t="s">
        <v>628</v>
      </c>
      <c r="E181" s="17" t="s">
        <v>348</v>
      </c>
      <c r="F181" s="17"/>
    </row>
    <row r="182" spans="2:6" x14ac:dyDescent="0.3">
      <c r="B182" s="1">
        <v>11507</v>
      </c>
      <c r="C182" t="s">
        <v>186</v>
      </c>
      <c r="D182" t="s">
        <v>629</v>
      </c>
      <c r="E182" s="17" t="s">
        <v>348</v>
      </c>
      <c r="F182" s="17"/>
    </row>
    <row r="183" spans="2:6" x14ac:dyDescent="0.3">
      <c r="B183" s="1">
        <v>11508</v>
      </c>
      <c r="C183" t="s">
        <v>885</v>
      </c>
      <c r="D183" t="s">
        <v>886</v>
      </c>
      <c r="E183" s="17" t="s">
        <v>348</v>
      </c>
      <c r="F183" s="17"/>
    </row>
    <row r="184" spans="2:6" x14ac:dyDescent="0.3">
      <c r="B184" s="1">
        <v>11601</v>
      </c>
      <c r="C184" t="s">
        <v>194</v>
      </c>
      <c r="D184" t="s">
        <v>465</v>
      </c>
      <c r="E184" s="17" t="s">
        <v>348</v>
      </c>
      <c r="F184" s="17"/>
    </row>
    <row r="185" spans="2:6" x14ac:dyDescent="0.3">
      <c r="B185" s="1">
        <v>11602</v>
      </c>
      <c r="C185" t="s">
        <v>194</v>
      </c>
      <c r="D185" t="s">
        <v>466</v>
      </c>
      <c r="E185" s="17" t="s">
        <v>348</v>
      </c>
      <c r="F185" s="17"/>
    </row>
    <row r="186" spans="2:6" x14ac:dyDescent="0.3">
      <c r="B186" s="1">
        <v>11603</v>
      </c>
      <c r="C186" t="s">
        <v>194</v>
      </c>
      <c r="D186" t="s">
        <v>467</v>
      </c>
      <c r="E186" s="17" t="s">
        <v>348</v>
      </c>
      <c r="F186" s="17"/>
    </row>
    <row r="187" spans="2:6" x14ac:dyDescent="0.3">
      <c r="B187" s="1">
        <v>11604</v>
      </c>
      <c r="C187" t="s">
        <v>194</v>
      </c>
      <c r="D187" t="s">
        <v>468</v>
      </c>
      <c r="E187" s="17" t="s">
        <v>348</v>
      </c>
      <c r="F187" s="17"/>
    </row>
    <row r="188" spans="2:6" x14ac:dyDescent="0.3">
      <c r="B188" s="1">
        <v>11605</v>
      </c>
      <c r="C188" t="s">
        <v>194</v>
      </c>
      <c r="D188" t="s">
        <v>469</v>
      </c>
      <c r="E188" s="17" t="s">
        <v>348</v>
      </c>
      <c r="F188" s="17"/>
    </row>
    <row r="189" spans="2:6" x14ac:dyDescent="0.3">
      <c r="B189" s="1">
        <v>11606</v>
      </c>
      <c r="C189" t="s">
        <v>194</v>
      </c>
      <c r="D189" t="s">
        <v>470</v>
      </c>
      <c r="E189" s="17" t="s">
        <v>348</v>
      </c>
      <c r="F189" s="17"/>
    </row>
    <row r="190" spans="2:6" x14ac:dyDescent="0.3">
      <c r="B190" s="1">
        <v>11607</v>
      </c>
      <c r="C190" t="s">
        <v>194</v>
      </c>
      <c r="D190" t="s">
        <v>471</v>
      </c>
      <c r="E190" s="17" t="s">
        <v>348</v>
      </c>
      <c r="F190" s="17"/>
    </row>
    <row r="191" spans="2:6" x14ac:dyDescent="0.3">
      <c r="B191" s="1">
        <v>11608</v>
      </c>
      <c r="C191" t="s">
        <v>887</v>
      </c>
      <c r="D191" t="s">
        <v>888</v>
      </c>
      <c r="E191" s="17" t="s">
        <v>348</v>
      </c>
      <c r="F191" s="17"/>
    </row>
    <row r="192" spans="2:6" x14ac:dyDescent="0.3">
      <c r="B192" s="1">
        <v>11701</v>
      </c>
      <c r="C192" t="s">
        <v>202</v>
      </c>
      <c r="D192" t="s">
        <v>472</v>
      </c>
      <c r="E192" s="17" t="s">
        <v>348</v>
      </c>
      <c r="F192" s="17"/>
    </row>
    <row r="193" spans="2:6" x14ac:dyDescent="0.3">
      <c r="B193" s="1">
        <v>11702</v>
      </c>
      <c r="C193" t="s">
        <v>202</v>
      </c>
      <c r="D193" t="s">
        <v>473</v>
      </c>
      <c r="E193" s="17" t="s">
        <v>348</v>
      </c>
      <c r="F193" s="17"/>
    </row>
    <row r="194" spans="2:6" x14ac:dyDescent="0.3">
      <c r="B194" s="1">
        <v>11703</v>
      </c>
      <c r="C194" t="s">
        <v>202</v>
      </c>
      <c r="D194" t="s">
        <v>474</v>
      </c>
      <c r="E194" s="17" t="s">
        <v>348</v>
      </c>
      <c r="F194" s="17"/>
    </row>
    <row r="195" spans="2:6" x14ac:dyDescent="0.3">
      <c r="B195" s="1">
        <v>11704</v>
      </c>
      <c r="C195" t="s">
        <v>202</v>
      </c>
      <c r="D195" t="s">
        <v>475</v>
      </c>
      <c r="E195" s="17" t="s">
        <v>348</v>
      </c>
      <c r="F195" s="17"/>
    </row>
    <row r="196" spans="2:6" x14ac:dyDescent="0.3">
      <c r="B196" s="1">
        <v>11705</v>
      </c>
      <c r="C196" t="s">
        <v>202</v>
      </c>
      <c r="D196" t="s">
        <v>476</v>
      </c>
      <c r="E196" s="17" t="s">
        <v>348</v>
      </c>
      <c r="F196" s="17"/>
    </row>
    <row r="197" spans="2:6" x14ac:dyDescent="0.3">
      <c r="B197" s="1">
        <v>11706</v>
      </c>
      <c r="C197" t="s">
        <v>202</v>
      </c>
      <c r="D197" t="s">
        <v>477</v>
      </c>
      <c r="E197" s="17" t="s">
        <v>348</v>
      </c>
      <c r="F197" s="17"/>
    </row>
    <row r="198" spans="2:6" x14ac:dyDescent="0.3">
      <c r="B198" s="1">
        <v>11707</v>
      </c>
      <c r="C198" t="s">
        <v>202</v>
      </c>
      <c r="D198" t="s">
        <v>478</v>
      </c>
      <c r="E198" s="17" t="s">
        <v>348</v>
      </c>
      <c r="F198" s="17"/>
    </row>
    <row r="199" spans="2:6" x14ac:dyDescent="0.3">
      <c r="B199" s="1">
        <v>11708</v>
      </c>
      <c r="C199" t="s">
        <v>889</v>
      </c>
      <c r="D199" t="s">
        <v>890</v>
      </c>
      <c r="E199" s="17" t="s">
        <v>348</v>
      </c>
      <c r="F199" s="17"/>
    </row>
    <row r="200" spans="2:6" x14ac:dyDescent="0.3">
      <c r="B200" s="1">
        <v>11801</v>
      </c>
      <c r="C200" t="s">
        <v>210</v>
      </c>
      <c r="D200" t="s">
        <v>479</v>
      </c>
      <c r="E200" s="17" t="s">
        <v>348</v>
      </c>
      <c r="F200" s="17"/>
    </row>
    <row r="201" spans="2:6" x14ac:dyDescent="0.3">
      <c r="B201" s="1">
        <v>11802</v>
      </c>
      <c r="C201" t="s">
        <v>210</v>
      </c>
      <c r="D201" t="s">
        <v>480</v>
      </c>
      <c r="E201" s="17" t="s">
        <v>348</v>
      </c>
      <c r="F201" s="17"/>
    </row>
    <row r="202" spans="2:6" x14ac:dyDescent="0.3">
      <c r="B202" s="1">
        <v>11803</v>
      </c>
      <c r="C202" t="s">
        <v>210</v>
      </c>
      <c r="D202" t="s">
        <v>481</v>
      </c>
      <c r="E202" s="17" t="s">
        <v>348</v>
      </c>
      <c r="F202" s="17"/>
    </row>
    <row r="203" spans="2:6" x14ac:dyDescent="0.3">
      <c r="B203" s="1">
        <v>11804</v>
      </c>
      <c r="C203" t="s">
        <v>210</v>
      </c>
      <c r="D203" t="s">
        <v>482</v>
      </c>
      <c r="E203" s="17" t="s">
        <v>348</v>
      </c>
      <c r="F203" s="17"/>
    </row>
    <row r="204" spans="2:6" x14ac:dyDescent="0.3">
      <c r="B204" s="1">
        <v>11805</v>
      </c>
      <c r="C204" t="s">
        <v>210</v>
      </c>
      <c r="D204" t="s">
        <v>810</v>
      </c>
      <c r="E204" s="17" t="s">
        <v>348</v>
      </c>
      <c r="F204" s="17"/>
    </row>
    <row r="205" spans="2:6" x14ac:dyDescent="0.3">
      <c r="B205" s="1">
        <v>11806</v>
      </c>
      <c r="C205" t="s">
        <v>210</v>
      </c>
      <c r="D205" t="s">
        <v>811</v>
      </c>
      <c r="E205" s="17" t="s">
        <v>348</v>
      </c>
      <c r="F205" s="17"/>
    </row>
    <row r="206" spans="2:6" x14ac:dyDescent="0.3">
      <c r="B206" s="1">
        <v>11807</v>
      </c>
      <c r="C206" t="s">
        <v>210</v>
      </c>
      <c r="D206" t="s">
        <v>812</v>
      </c>
      <c r="E206" s="17" t="s">
        <v>348</v>
      </c>
      <c r="F206" s="17"/>
    </row>
    <row r="207" spans="2:6" x14ac:dyDescent="0.3">
      <c r="B207" s="1">
        <v>11808</v>
      </c>
      <c r="C207" t="s">
        <v>891</v>
      </c>
      <c r="D207" t="s">
        <v>892</v>
      </c>
      <c r="E207" s="17" t="s">
        <v>348</v>
      </c>
      <c r="F207" s="17"/>
    </row>
    <row r="208" spans="2:6" x14ac:dyDescent="0.3">
      <c r="B208" s="1">
        <v>11901</v>
      </c>
      <c r="C208" t="s">
        <v>218</v>
      </c>
      <c r="D208" t="s">
        <v>483</v>
      </c>
      <c r="E208" s="17" t="s">
        <v>348</v>
      </c>
      <c r="F208" s="17"/>
    </row>
    <row r="209" spans="2:6" x14ac:dyDescent="0.3">
      <c r="B209" s="1">
        <v>11902</v>
      </c>
      <c r="C209" t="s">
        <v>218</v>
      </c>
      <c r="D209" t="s">
        <v>484</v>
      </c>
      <c r="E209" s="17" t="s">
        <v>348</v>
      </c>
      <c r="F209" s="17"/>
    </row>
    <row r="210" spans="2:6" x14ac:dyDescent="0.3">
      <c r="B210" s="1">
        <v>11903</v>
      </c>
      <c r="C210" t="s">
        <v>218</v>
      </c>
      <c r="D210" t="s">
        <v>485</v>
      </c>
      <c r="E210" s="17" t="s">
        <v>348</v>
      </c>
      <c r="F210" s="17"/>
    </row>
    <row r="211" spans="2:6" x14ac:dyDescent="0.3">
      <c r="B211" s="1">
        <v>11904</v>
      </c>
      <c r="C211" t="s">
        <v>218</v>
      </c>
      <c r="D211" t="s">
        <v>486</v>
      </c>
      <c r="E211" s="17" t="s">
        <v>348</v>
      </c>
      <c r="F211" s="17"/>
    </row>
    <row r="212" spans="2:6" x14ac:dyDescent="0.3">
      <c r="B212" s="1">
        <v>11905</v>
      </c>
      <c r="C212" t="s">
        <v>218</v>
      </c>
      <c r="D212" t="s">
        <v>813</v>
      </c>
      <c r="E212" s="17" t="s">
        <v>348</v>
      </c>
      <c r="F212" s="17"/>
    </row>
    <row r="213" spans="2:6" x14ac:dyDescent="0.3">
      <c r="B213" s="1">
        <v>11906</v>
      </c>
      <c r="C213" t="s">
        <v>218</v>
      </c>
      <c r="D213" t="s">
        <v>814</v>
      </c>
      <c r="E213" s="17" t="s">
        <v>348</v>
      </c>
      <c r="F213" s="17"/>
    </row>
    <row r="214" spans="2:6" x14ac:dyDescent="0.3">
      <c r="B214" s="1">
        <v>11907</v>
      </c>
      <c r="C214" t="s">
        <v>218</v>
      </c>
      <c r="D214" t="s">
        <v>815</v>
      </c>
      <c r="E214" s="17" t="s">
        <v>348</v>
      </c>
      <c r="F214" s="17"/>
    </row>
    <row r="215" spans="2:6" x14ac:dyDescent="0.3">
      <c r="B215" s="1">
        <v>11908</v>
      </c>
      <c r="C215" t="s">
        <v>893</v>
      </c>
      <c r="D215" t="s">
        <v>894</v>
      </c>
      <c r="E215" s="17" t="s">
        <v>348</v>
      </c>
      <c r="F215" s="17"/>
    </row>
    <row r="216" spans="2:6" x14ac:dyDescent="0.3">
      <c r="B216" s="1">
        <v>12001</v>
      </c>
      <c r="C216" t="s">
        <v>226</v>
      </c>
      <c r="D216" t="s">
        <v>640</v>
      </c>
      <c r="E216" s="17" t="s">
        <v>348</v>
      </c>
      <c r="F216" s="17"/>
    </row>
    <row r="217" spans="2:6" x14ac:dyDescent="0.3">
      <c r="B217" s="1">
        <v>12002</v>
      </c>
      <c r="C217" t="s">
        <v>226</v>
      </c>
      <c r="D217" t="s">
        <v>641</v>
      </c>
      <c r="E217" s="17" t="s">
        <v>348</v>
      </c>
      <c r="F217" s="17"/>
    </row>
    <row r="218" spans="2:6" x14ac:dyDescent="0.3">
      <c r="B218" s="1">
        <v>12003</v>
      </c>
      <c r="C218" t="s">
        <v>226</v>
      </c>
      <c r="D218" t="s">
        <v>637</v>
      </c>
      <c r="E218" s="17" t="s">
        <v>348</v>
      </c>
      <c r="F218" s="17"/>
    </row>
    <row r="219" spans="2:6" x14ac:dyDescent="0.3">
      <c r="B219" s="1">
        <v>12004</v>
      </c>
      <c r="C219" t="s">
        <v>226</v>
      </c>
      <c r="D219" t="s">
        <v>642</v>
      </c>
      <c r="E219" s="17" t="s">
        <v>348</v>
      </c>
      <c r="F219" s="17"/>
    </row>
    <row r="220" spans="2:6" x14ac:dyDescent="0.3">
      <c r="B220" s="1">
        <v>12005</v>
      </c>
      <c r="C220" t="s">
        <v>226</v>
      </c>
      <c r="D220" t="s">
        <v>643</v>
      </c>
      <c r="E220" s="17" t="s">
        <v>348</v>
      </c>
      <c r="F220" s="17"/>
    </row>
    <row r="221" spans="2:6" x14ac:dyDescent="0.3">
      <c r="B221" s="1">
        <v>12006</v>
      </c>
      <c r="C221" t="s">
        <v>226</v>
      </c>
      <c r="D221" t="s">
        <v>638</v>
      </c>
      <c r="E221" s="17" t="s">
        <v>348</v>
      </c>
      <c r="F221" s="17"/>
    </row>
    <row r="222" spans="2:6" x14ac:dyDescent="0.3">
      <c r="B222" s="1">
        <v>12007</v>
      </c>
      <c r="C222" t="s">
        <v>226</v>
      </c>
      <c r="D222" t="s">
        <v>639</v>
      </c>
      <c r="E222" s="17" t="s">
        <v>348</v>
      </c>
      <c r="F222" s="17"/>
    </row>
    <row r="223" spans="2:6" x14ac:dyDescent="0.3">
      <c r="B223" s="1">
        <v>12008</v>
      </c>
      <c r="C223" t="s">
        <v>895</v>
      </c>
      <c r="D223" t="s">
        <v>896</v>
      </c>
      <c r="E223" s="17" t="s">
        <v>348</v>
      </c>
      <c r="F223" s="17"/>
    </row>
    <row r="224" spans="2:6" x14ac:dyDescent="0.3">
      <c r="B224" s="1">
        <v>15001</v>
      </c>
      <c r="C224" t="s">
        <v>819</v>
      </c>
      <c r="D224" t="s">
        <v>819</v>
      </c>
      <c r="E224" s="17" t="s">
        <v>348</v>
      </c>
      <c r="F224" s="17"/>
    </row>
    <row r="225" spans="2:6" x14ac:dyDescent="0.3">
      <c r="B225" s="1">
        <v>15101</v>
      </c>
      <c r="C225" t="s">
        <v>820</v>
      </c>
      <c r="D225" t="s">
        <v>820</v>
      </c>
      <c r="E225" s="17" t="s">
        <v>346</v>
      </c>
      <c r="F225" s="17"/>
    </row>
    <row r="226" spans="2:6" x14ac:dyDescent="0.3">
      <c r="B226" s="1">
        <v>15201</v>
      </c>
      <c r="C226" t="s">
        <v>821</v>
      </c>
      <c r="D226" t="s">
        <v>821</v>
      </c>
      <c r="E226" s="17" t="s">
        <v>346</v>
      </c>
      <c r="F226" s="17"/>
    </row>
    <row r="227" spans="2:6" x14ac:dyDescent="0.3">
      <c r="B227" s="1">
        <v>20001</v>
      </c>
      <c r="C227" t="s">
        <v>234</v>
      </c>
      <c r="D227" t="s">
        <v>234</v>
      </c>
    </row>
    <row r="228" spans="2:6" x14ac:dyDescent="0.3">
      <c r="B228" s="1">
        <v>20002</v>
      </c>
      <c r="C228" t="s">
        <v>236</v>
      </c>
      <c r="D228" t="s">
        <v>236</v>
      </c>
    </row>
    <row r="229" spans="2:6" x14ac:dyDescent="0.3">
      <c r="B229" s="1">
        <v>20003</v>
      </c>
      <c r="C229" t="s">
        <v>238</v>
      </c>
      <c r="D229" t="s">
        <v>238</v>
      </c>
    </row>
    <row r="230" spans="2:6" x14ac:dyDescent="0.3">
      <c r="B230" s="1">
        <v>20004</v>
      </c>
      <c r="C230" t="s">
        <v>240</v>
      </c>
      <c r="D230" t="s">
        <v>240</v>
      </c>
    </row>
    <row r="231" spans="2:6" x14ac:dyDescent="0.3">
      <c r="B231" s="1">
        <v>20005</v>
      </c>
      <c r="C231" t="s">
        <v>242</v>
      </c>
      <c r="D231" t="s">
        <v>242</v>
      </c>
    </row>
    <row r="232" spans="2:6" x14ac:dyDescent="0.3">
      <c r="B232" s="1">
        <v>20006</v>
      </c>
      <c r="C232" t="s">
        <v>244</v>
      </c>
      <c r="D232" t="s">
        <v>244</v>
      </c>
    </row>
    <row r="233" spans="2:6" x14ac:dyDescent="0.3">
      <c r="B233" s="1">
        <v>20011</v>
      </c>
      <c r="C233" t="s">
        <v>504</v>
      </c>
      <c r="D233" t="s">
        <v>504</v>
      </c>
    </row>
    <row r="234" spans="2:6" x14ac:dyDescent="0.3">
      <c r="B234" s="1">
        <v>20012</v>
      </c>
      <c r="C234" t="s">
        <v>505</v>
      </c>
      <c r="D234" t="s">
        <v>505</v>
      </c>
    </row>
    <row r="235" spans="2:6" x14ac:dyDescent="0.3">
      <c r="B235" s="1">
        <v>20013</v>
      </c>
      <c r="C235" t="s">
        <v>506</v>
      </c>
      <c r="D235" t="s">
        <v>506</v>
      </c>
    </row>
    <row r="236" spans="2:6" x14ac:dyDescent="0.3">
      <c r="B236" s="1">
        <v>20014</v>
      </c>
      <c r="C236" s="16" t="s">
        <v>771</v>
      </c>
      <c r="D236" s="16" t="s">
        <v>771</v>
      </c>
    </row>
    <row r="237" spans="2:6" x14ac:dyDescent="0.3">
      <c r="B237" s="1">
        <v>20015</v>
      </c>
      <c r="C237" s="16" t="s">
        <v>965</v>
      </c>
      <c r="D237" s="16" t="s">
        <v>965</v>
      </c>
    </row>
    <row r="238" spans="2:6" x14ac:dyDescent="0.3">
      <c r="B238" s="1">
        <v>20101</v>
      </c>
      <c r="C238" t="s">
        <v>329</v>
      </c>
      <c r="D238" t="s">
        <v>329</v>
      </c>
    </row>
    <row r="239" spans="2:6" x14ac:dyDescent="0.3">
      <c r="B239" s="1">
        <v>20102</v>
      </c>
      <c r="C239" t="s">
        <v>330</v>
      </c>
      <c r="D239" t="s">
        <v>330</v>
      </c>
    </row>
    <row r="240" spans="2:6" x14ac:dyDescent="0.3">
      <c r="B240" s="1">
        <v>20103</v>
      </c>
      <c r="C240" t="s">
        <v>331</v>
      </c>
      <c r="D240" t="s">
        <v>331</v>
      </c>
    </row>
    <row r="241" spans="2:4" x14ac:dyDescent="0.3">
      <c r="B241" s="1">
        <v>20104</v>
      </c>
      <c r="C241" t="s">
        <v>332</v>
      </c>
      <c r="D241" t="s">
        <v>332</v>
      </c>
    </row>
    <row r="242" spans="2:4" x14ac:dyDescent="0.3">
      <c r="B242" s="1">
        <v>20105</v>
      </c>
      <c r="C242" t="s">
        <v>333</v>
      </c>
      <c r="D242" t="s">
        <v>333</v>
      </c>
    </row>
    <row r="243" spans="2:4" x14ac:dyDescent="0.3">
      <c r="B243" s="1">
        <v>20201</v>
      </c>
      <c r="C243" t="s">
        <v>246</v>
      </c>
      <c r="D243" t="s">
        <v>246</v>
      </c>
    </row>
    <row r="244" spans="2:4" x14ac:dyDescent="0.3">
      <c r="B244" s="1">
        <v>20202</v>
      </c>
      <c r="C244" t="s">
        <v>247</v>
      </c>
      <c r="D244" t="s">
        <v>247</v>
      </c>
    </row>
    <row r="245" spans="2:4" x14ac:dyDescent="0.3">
      <c r="B245" s="1">
        <v>20203</v>
      </c>
      <c r="C245" t="s">
        <v>248</v>
      </c>
      <c r="D245" t="s">
        <v>248</v>
      </c>
    </row>
    <row r="246" spans="2:4" x14ac:dyDescent="0.3">
      <c r="B246" s="1">
        <v>20301</v>
      </c>
      <c r="C246" t="s">
        <v>249</v>
      </c>
      <c r="D246" t="s">
        <v>249</v>
      </c>
    </row>
    <row r="247" spans="2:4" x14ac:dyDescent="0.3">
      <c r="B247" s="1">
        <v>20302</v>
      </c>
      <c r="C247" t="s">
        <v>250</v>
      </c>
      <c r="D247" t="s">
        <v>250</v>
      </c>
    </row>
    <row r="248" spans="2:4" x14ac:dyDescent="0.3">
      <c r="B248" s="1">
        <v>20303</v>
      </c>
      <c r="C248" t="s">
        <v>251</v>
      </c>
      <c r="D248" t="s">
        <v>251</v>
      </c>
    </row>
    <row r="249" spans="2:4" x14ac:dyDescent="0.3">
      <c r="B249" s="1">
        <v>20401</v>
      </c>
      <c r="C249" s="16" t="s">
        <v>545</v>
      </c>
      <c r="D249" s="16" t="s">
        <v>545</v>
      </c>
    </row>
    <row r="250" spans="2:4" x14ac:dyDescent="0.3">
      <c r="B250" s="1">
        <v>20402</v>
      </c>
      <c r="C250" s="16" t="s">
        <v>546</v>
      </c>
      <c r="D250" s="16" t="s">
        <v>546</v>
      </c>
    </row>
    <row r="251" spans="2:4" x14ac:dyDescent="0.3">
      <c r="B251" s="1">
        <v>20901</v>
      </c>
      <c r="C251" s="16" t="s">
        <v>793</v>
      </c>
      <c r="D251" s="16" t="s">
        <v>793</v>
      </c>
    </row>
    <row r="252" spans="2:4" x14ac:dyDescent="0.3">
      <c r="B252" s="1">
        <v>20902</v>
      </c>
      <c r="C252" s="16" t="s">
        <v>1000</v>
      </c>
      <c r="D252" s="16" t="s">
        <v>1000</v>
      </c>
    </row>
    <row r="253" spans="2:4" x14ac:dyDescent="0.3">
      <c r="B253" s="1">
        <v>21001</v>
      </c>
      <c r="C253" t="s">
        <v>252</v>
      </c>
      <c r="D253" t="s">
        <v>252</v>
      </c>
    </row>
    <row r="254" spans="2:4" x14ac:dyDescent="0.3">
      <c r="B254" s="1">
        <v>21002</v>
      </c>
      <c r="C254" t="s">
        <v>254</v>
      </c>
      <c r="D254" t="s">
        <v>254</v>
      </c>
    </row>
    <row r="255" spans="2:4" x14ac:dyDescent="0.3">
      <c r="B255" s="1">
        <v>21003</v>
      </c>
      <c r="C255" t="s">
        <v>256</v>
      </c>
      <c r="D255" t="s">
        <v>256</v>
      </c>
    </row>
    <row r="256" spans="2:4" x14ac:dyDescent="0.3">
      <c r="B256" s="1">
        <v>21004</v>
      </c>
      <c r="C256" t="s">
        <v>258</v>
      </c>
      <c r="D256" t="s">
        <v>258</v>
      </c>
    </row>
    <row r="257" spans="2:4" x14ac:dyDescent="0.3">
      <c r="B257" s="1">
        <v>21005</v>
      </c>
      <c r="C257" t="s">
        <v>260</v>
      </c>
      <c r="D257" t="s">
        <v>260</v>
      </c>
    </row>
    <row r="258" spans="2:4" x14ac:dyDescent="0.3">
      <c r="B258" s="1">
        <v>21006</v>
      </c>
      <c r="C258" t="s">
        <v>262</v>
      </c>
      <c r="D258" t="s">
        <v>262</v>
      </c>
    </row>
    <row r="259" spans="2:4" x14ac:dyDescent="0.3">
      <c r="B259" s="1">
        <v>21011</v>
      </c>
      <c r="C259" t="s">
        <v>507</v>
      </c>
      <c r="D259" t="s">
        <v>507</v>
      </c>
    </row>
    <row r="260" spans="2:4" x14ac:dyDescent="0.3">
      <c r="B260" s="1">
        <v>21012</v>
      </c>
      <c r="C260" t="s">
        <v>508</v>
      </c>
      <c r="D260" t="s">
        <v>508</v>
      </c>
    </row>
    <row r="261" spans="2:4" x14ac:dyDescent="0.3">
      <c r="B261" s="1">
        <v>21013</v>
      </c>
      <c r="C261" t="s">
        <v>509</v>
      </c>
      <c r="D261" t="s">
        <v>509</v>
      </c>
    </row>
    <row r="262" spans="2:4" x14ac:dyDescent="0.3">
      <c r="B262" s="1">
        <v>21014</v>
      </c>
      <c r="C262" s="16" t="s">
        <v>802</v>
      </c>
      <c r="D262" s="16" t="s">
        <v>775</v>
      </c>
    </row>
    <row r="263" spans="2:4" x14ac:dyDescent="0.3">
      <c r="B263" s="1">
        <v>21015</v>
      </c>
      <c r="C263" s="16" t="s">
        <v>968</v>
      </c>
      <c r="D263" s="16" t="s">
        <v>968</v>
      </c>
    </row>
    <row r="264" spans="2:4" x14ac:dyDescent="0.3">
      <c r="B264" s="1">
        <v>21101</v>
      </c>
      <c r="C264" t="s">
        <v>334</v>
      </c>
      <c r="D264" t="s">
        <v>334</v>
      </c>
    </row>
    <row r="265" spans="2:4" x14ac:dyDescent="0.3">
      <c r="B265" s="1">
        <v>21102</v>
      </c>
      <c r="C265" t="s">
        <v>335</v>
      </c>
      <c r="D265" t="s">
        <v>335</v>
      </c>
    </row>
    <row r="266" spans="2:4" x14ac:dyDescent="0.3">
      <c r="B266" s="1">
        <v>21103</v>
      </c>
      <c r="C266" t="s">
        <v>336</v>
      </c>
      <c r="D266" t="s">
        <v>336</v>
      </c>
    </row>
    <row r="267" spans="2:4" x14ac:dyDescent="0.3">
      <c r="B267" s="1">
        <v>21104</v>
      </c>
      <c r="C267" t="s">
        <v>337</v>
      </c>
      <c r="D267" t="s">
        <v>337</v>
      </c>
    </row>
    <row r="268" spans="2:4" x14ac:dyDescent="0.3">
      <c r="B268" s="1">
        <v>21105</v>
      </c>
      <c r="C268" t="s">
        <v>338</v>
      </c>
      <c r="D268" t="s">
        <v>338</v>
      </c>
    </row>
    <row r="269" spans="2:4" x14ac:dyDescent="0.3">
      <c r="B269" s="1">
        <v>21201</v>
      </c>
      <c r="C269" t="s">
        <v>264</v>
      </c>
      <c r="D269" t="s">
        <v>264</v>
      </c>
    </row>
    <row r="270" spans="2:4" x14ac:dyDescent="0.3">
      <c r="B270" s="1">
        <v>21202</v>
      </c>
      <c r="C270" t="s">
        <v>265</v>
      </c>
      <c r="D270" t="s">
        <v>265</v>
      </c>
    </row>
    <row r="271" spans="2:4" x14ac:dyDescent="0.3">
      <c r="B271" s="1">
        <v>21203</v>
      </c>
      <c r="C271" t="s">
        <v>266</v>
      </c>
      <c r="D271" t="s">
        <v>266</v>
      </c>
    </row>
    <row r="272" spans="2:4" x14ac:dyDescent="0.3">
      <c r="B272" s="1">
        <v>21301</v>
      </c>
      <c r="C272" t="s">
        <v>267</v>
      </c>
      <c r="D272" t="s">
        <v>267</v>
      </c>
    </row>
    <row r="273" spans="2:5" x14ac:dyDescent="0.3">
      <c r="B273" s="1">
        <v>21302</v>
      </c>
      <c r="C273" t="s">
        <v>268</v>
      </c>
      <c r="D273" t="s">
        <v>268</v>
      </c>
    </row>
    <row r="274" spans="2:5" x14ac:dyDescent="0.3">
      <c r="B274" s="1">
        <v>21303</v>
      </c>
      <c r="C274" t="s">
        <v>269</v>
      </c>
      <c r="D274" t="s">
        <v>269</v>
      </c>
    </row>
    <row r="275" spans="2:5" x14ac:dyDescent="0.3">
      <c r="B275" s="1">
        <v>21401</v>
      </c>
      <c r="C275" s="16" t="s">
        <v>547</v>
      </c>
      <c r="D275" s="16" t="s">
        <v>547</v>
      </c>
    </row>
    <row r="276" spans="2:5" x14ac:dyDescent="0.3">
      <c r="B276" s="1">
        <v>21402</v>
      </c>
      <c r="C276" s="16" t="s">
        <v>548</v>
      </c>
      <c r="D276" s="16" t="s">
        <v>548</v>
      </c>
    </row>
    <row r="277" spans="2:5" x14ac:dyDescent="0.3">
      <c r="B277" s="1">
        <v>21901</v>
      </c>
      <c r="C277" s="16" t="s">
        <v>800</v>
      </c>
      <c r="D277" s="16" t="s">
        <v>800</v>
      </c>
    </row>
    <row r="278" spans="2:5" x14ac:dyDescent="0.3">
      <c r="B278" s="1">
        <v>21902</v>
      </c>
      <c r="C278" s="16" t="s">
        <v>1003</v>
      </c>
      <c r="D278" s="16" t="s">
        <v>1003</v>
      </c>
    </row>
    <row r="279" spans="2:5" x14ac:dyDescent="0.3">
      <c r="B279" s="1">
        <v>22001</v>
      </c>
      <c r="C279" t="s">
        <v>512</v>
      </c>
      <c r="D279" t="s">
        <v>512</v>
      </c>
    </row>
    <row r="280" spans="2:5" x14ac:dyDescent="0.3">
      <c r="B280" s="1">
        <v>22002</v>
      </c>
      <c r="C280" t="s">
        <v>514</v>
      </c>
      <c r="D280" t="s">
        <v>514</v>
      </c>
    </row>
    <row r="281" spans="2:5" x14ac:dyDescent="0.3">
      <c r="B281" s="1">
        <v>22003</v>
      </c>
      <c r="C281" t="s">
        <v>516</v>
      </c>
      <c r="D281" t="s">
        <v>516</v>
      </c>
    </row>
    <row r="282" spans="2:5" x14ac:dyDescent="0.3">
      <c r="B282" s="1">
        <v>22004</v>
      </c>
      <c r="C282" s="16" t="s">
        <v>801</v>
      </c>
      <c r="D282" s="16" t="s">
        <v>801</v>
      </c>
    </row>
    <row r="283" spans="2:5" x14ac:dyDescent="0.3">
      <c r="B283" s="1">
        <v>28001</v>
      </c>
      <c r="C283" t="s">
        <v>754</v>
      </c>
      <c r="D283" t="s">
        <v>754</v>
      </c>
    </row>
    <row r="284" spans="2:5" x14ac:dyDescent="0.3">
      <c r="B284" s="1">
        <v>28002</v>
      </c>
      <c r="C284" t="s">
        <v>755</v>
      </c>
      <c r="D284" t="s">
        <v>755</v>
      </c>
    </row>
    <row r="285" spans="2:5" x14ac:dyDescent="0.3">
      <c r="B285" s="1">
        <v>28003</v>
      </c>
      <c r="C285" t="s">
        <v>756</v>
      </c>
      <c r="D285" t="s">
        <v>756</v>
      </c>
    </row>
    <row r="286" spans="2:5" x14ac:dyDescent="0.3">
      <c r="B286" s="1">
        <v>30001</v>
      </c>
      <c r="C286" s="7" t="s">
        <v>270</v>
      </c>
      <c r="E286" s="17" t="s">
        <v>404</v>
      </c>
    </row>
    <row r="287" spans="2:5" x14ac:dyDescent="0.3">
      <c r="B287" s="1">
        <v>30002</v>
      </c>
      <c r="C287" s="7" t="s">
        <v>272</v>
      </c>
      <c r="E287" s="17" t="s">
        <v>405</v>
      </c>
    </row>
    <row r="288" spans="2:5" x14ac:dyDescent="0.3">
      <c r="B288" s="1">
        <v>30003</v>
      </c>
      <c r="C288" s="7" t="s">
        <v>274</v>
      </c>
      <c r="E288" s="17" t="s">
        <v>406</v>
      </c>
    </row>
    <row r="289" spans="2:5" x14ac:dyDescent="0.3">
      <c r="B289" s="1">
        <v>30004</v>
      </c>
      <c r="C289" s="21" t="s">
        <v>391</v>
      </c>
      <c r="E289" s="17" t="s">
        <v>407</v>
      </c>
    </row>
    <row r="290" spans="2:5" x14ac:dyDescent="0.3">
      <c r="B290" s="1">
        <v>30005</v>
      </c>
      <c r="C290" s="7" t="s">
        <v>277</v>
      </c>
      <c r="E290" s="17" t="s">
        <v>408</v>
      </c>
    </row>
    <row r="291" spans="2:5" x14ac:dyDescent="0.3">
      <c r="B291" s="1">
        <v>30006</v>
      </c>
      <c r="C291" s="21" t="s">
        <v>392</v>
      </c>
      <c r="E291" s="17" t="s">
        <v>409</v>
      </c>
    </row>
    <row r="292" spans="2:5" x14ac:dyDescent="0.3">
      <c r="B292" s="1">
        <v>30007</v>
      </c>
      <c r="C292" s="21" t="s">
        <v>394</v>
      </c>
      <c r="E292" s="17" t="s">
        <v>410</v>
      </c>
    </row>
    <row r="293" spans="2:5" x14ac:dyDescent="0.3">
      <c r="B293" s="1">
        <v>30008</v>
      </c>
      <c r="C293" s="20" t="s">
        <v>393</v>
      </c>
      <c r="E293" s="17" t="s">
        <v>411</v>
      </c>
    </row>
    <row r="294" spans="2:5" x14ac:dyDescent="0.3">
      <c r="B294" s="1">
        <v>30009</v>
      </c>
      <c r="C294" s="20" t="s">
        <v>390</v>
      </c>
      <c r="E294" s="17" t="s">
        <v>412</v>
      </c>
    </row>
    <row r="295" spans="2:5" x14ac:dyDescent="0.3">
      <c r="B295" s="1">
        <v>30010</v>
      </c>
      <c r="C295" s="7" t="s">
        <v>283</v>
      </c>
      <c r="E295" s="17" t="s">
        <v>413</v>
      </c>
    </row>
    <row r="296" spans="2:5" x14ac:dyDescent="0.3">
      <c r="B296" s="1">
        <v>30011</v>
      </c>
      <c r="C296" s="21" t="s">
        <v>395</v>
      </c>
      <c r="E296" s="17" t="s">
        <v>414</v>
      </c>
    </row>
    <row r="297" spans="2:5" x14ac:dyDescent="0.3">
      <c r="B297" s="1">
        <v>30012</v>
      </c>
      <c r="C297" s="20" t="s">
        <v>396</v>
      </c>
      <c r="E297" s="17" t="s">
        <v>415</v>
      </c>
    </row>
    <row r="298" spans="2:5" x14ac:dyDescent="0.3">
      <c r="B298" s="1">
        <v>31001</v>
      </c>
      <c r="C298" s="7" t="s">
        <v>287</v>
      </c>
      <c r="E298" s="17" t="s">
        <v>416</v>
      </c>
    </row>
    <row r="299" spans="2:5" x14ac:dyDescent="0.3">
      <c r="B299" s="1">
        <v>31002</v>
      </c>
      <c r="C299" s="7" t="s">
        <v>289</v>
      </c>
      <c r="E299" s="17" t="s">
        <v>417</v>
      </c>
    </row>
    <row r="300" spans="2:5" x14ac:dyDescent="0.3">
      <c r="B300" s="1">
        <v>31003</v>
      </c>
      <c r="C300" t="s">
        <v>291</v>
      </c>
      <c r="E300" s="17" t="s">
        <v>418</v>
      </c>
    </row>
    <row r="301" spans="2:5" x14ac:dyDescent="0.3">
      <c r="B301" s="1">
        <v>31004</v>
      </c>
      <c r="C301" s="22" t="s">
        <v>397</v>
      </c>
      <c r="E301" s="17" t="s">
        <v>419</v>
      </c>
    </row>
    <row r="302" spans="2:5" x14ac:dyDescent="0.3">
      <c r="B302" s="1">
        <v>31005</v>
      </c>
      <c r="C302" t="s">
        <v>294</v>
      </c>
      <c r="E302" s="17" t="s">
        <v>420</v>
      </c>
    </row>
    <row r="303" spans="2:5" x14ac:dyDescent="0.3">
      <c r="B303" s="1">
        <v>31006</v>
      </c>
      <c r="C303" s="22" t="s">
        <v>398</v>
      </c>
      <c r="E303" s="17" t="s">
        <v>421</v>
      </c>
    </row>
    <row r="304" spans="2:5" x14ac:dyDescent="0.3">
      <c r="B304" s="1">
        <v>31007</v>
      </c>
      <c r="C304" s="22" t="s">
        <v>399</v>
      </c>
      <c r="E304" s="17" t="s">
        <v>422</v>
      </c>
    </row>
    <row r="305" spans="2:8" x14ac:dyDescent="0.3">
      <c r="B305" s="1">
        <v>31008</v>
      </c>
      <c r="C305" s="22" t="s">
        <v>401</v>
      </c>
      <c r="E305" s="17" t="s">
        <v>423</v>
      </c>
    </row>
    <row r="306" spans="2:8" x14ac:dyDescent="0.3">
      <c r="B306" s="1">
        <v>31009</v>
      </c>
      <c r="C306" t="s">
        <v>299</v>
      </c>
      <c r="E306" s="17" t="s">
        <v>424</v>
      </c>
    </row>
    <row r="307" spans="2:8" x14ac:dyDescent="0.3">
      <c r="B307" s="1">
        <v>31010</v>
      </c>
      <c r="C307" s="22" t="s">
        <v>400</v>
      </c>
      <c r="E307" s="17" t="s">
        <v>425</v>
      </c>
    </row>
    <row r="308" spans="2:8" x14ac:dyDescent="0.3">
      <c r="B308" s="1">
        <v>31011</v>
      </c>
      <c r="C308" s="22" t="s">
        <v>402</v>
      </c>
      <c r="E308" s="17" t="s">
        <v>426</v>
      </c>
    </row>
    <row r="309" spans="2:8" x14ac:dyDescent="0.3">
      <c r="B309" s="1">
        <v>31012</v>
      </c>
      <c r="C309" s="22" t="s">
        <v>403</v>
      </c>
      <c r="E309" s="17" t="s">
        <v>759</v>
      </c>
    </row>
    <row r="310" spans="2:8" x14ac:dyDescent="0.3">
      <c r="B310" s="1">
        <v>40001</v>
      </c>
      <c r="C310" t="s">
        <v>308</v>
      </c>
      <c r="E310" s="17"/>
      <c r="F310" s="17" t="s">
        <v>443</v>
      </c>
      <c r="H310" s="16"/>
    </row>
    <row r="311" spans="2:8" x14ac:dyDescent="0.3">
      <c r="B311" s="1">
        <v>40002</v>
      </c>
      <c r="C311" s="16" t="s">
        <v>428</v>
      </c>
      <c r="E311" s="17"/>
      <c r="F311" s="17" t="s">
        <v>444</v>
      </c>
    </row>
    <row r="312" spans="2:8" x14ac:dyDescent="0.3">
      <c r="B312" s="1">
        <v>40003</v>
      </c>
      <c r="C312" t="s">
        <v>306</v>
      </c>
      <c r="E312" s="17"/>
      <c r="F312" s="17" t="s">
        <v>445</v>
      </c>
    </row>
    <row r="313" spans="2:8" x14ac:dyDescent="0.3">
      <c r="B313" s="1">
        <v>40004</v>
      </c>
      <c r="C313" s="16" t="s">
        <v>387</v>
      </c>
      <c r="E313" s="17"/>
      <c r="F313" s="17" t="s">
        <v>446</v>
      </c>
    </row>
    <row r="314" spans="2:8" x14ac:dyDescent="0.3">
      <c r="B314" s="1">
        <v>40005</v>
      </c>
      <c r="C314" t="s">
        <v>311</v>
      </c>
      <c r="E314" s="17"/>
      <c r="F314" s="17" t="s">
        <v>447</v>
      </c>
    </row>
    <row r="315" spans="2:8" x14ac:dyDescent="0.3">
      <c r="B315" s="1">
        <v>40006</v>
      </c>
      <c r="C315" s="16" t="s">
        <v>429</v>
      </c>
      <c r="E315" s="17"/>
      <c r="F315" s="17" t="s">
        <v>448</v>
      </c>
    </row>
    <row r="316" spans="2:8" x14ac:dyDescent="0.3">
      <c r="B316" s="1">
        <v>40007</v>
      </c>
      <c r="C316" s="16" t="s">
        <v>388</v>
      </c>
      <c r="E316" s="17"/>
      <c r="F316" s="17" t="s">
        <v>449</v>
      </c>
    </row>
    <row r="317" spans="2:8" x14ac:dyDescent="0.3">
      <c r="B317" s="1">
        <v>40008</v>
      </c>
      <c r="C317" s="16" t="s">
        <v>389</v>
      </c>
      <c r="E317" s="17"/>
      <c r="F317" s="17" t="s">
        <v>450</v>
      </c>
    </row>
    <row r="318" spans="2:8" x14ac:dyDescent="0.3">
      <c r="B318" s="1">
        <v>41001</v>
      </c>
      <c r="C318" s="16" t="s">
        <v>791</v>
      </c>
      <c r="E318" s="17"/>
      <c r="F318" s="17" t="s">
        <v>797</v>
      </c>
    </row>
    <row r="319" spans="2:8" x14ac:dyDescent="0.3">
      <c r="B319" s="1">
        <v>41002</v>
      </c>
      <c r="C319" s="16" t="s">
        <v>795</v>
      </c>
      <c r="E319" s="17"/>
      <c r="F319" s="17" t="s">
        <v>798</v>
      </c>
    </row>
    <row r="320" spans="2:8" x14ac:dyDescent="0.3">
      <c r="B320" s="1">
        <v>41003</v>
      </c>
      <c r="C320" s="16" t="s">
        <v>909</v>
      </c>
      <c r="E320" s="17"/>
      <c r="F320" s="17" t="s">
        <v>911</v>
      </c>
    </row>
    <row r="321" spans="2:6" x14ac:dyDescent="0.3">
      <c r="B321" s="1">
        <v>41004</v>
      </c>
      <c r="C321" s="16" t="s">
        <v>912</v>
      </c>
      <c r="E321" s="17"/>
      <c r="F321" s="17" t="s">
        <v>915</v>
      </c>
    </row>
    <row r="322" spans="2:6" x14ac:dyDescent="0.3">
      <c r="B322" s="1">
        <v>41005</v>
      </c>
      <c r="C322" s="16" t="s">
        <v>927</v>
      </c>
      <c r="E322" s="17"/>
      <c r="F322" s="17" t="s">
        <v>916</v>
      </c>
    </row>
    <row r="323" spans="2:6" x14ac:dyDescent="0.3">
      <c r="B323" s="1">
        <v>41006</v>
      </c>
      <c r="C323" s="16" t="s">
        <v>923</v>
      </c>
      <c r="E323" s="17"/>
      <c r="F323" s="17" t="s">
        <v>926</v>
      </c>
    </row>
    <row r="324" spans="2:6" x14ac:dyDescent="0.3">
      <c r="B324" s="1">
        <v>41007</v>
      </c>
      <c r="C324" s="16" t="s">
        <v>938</v>
      </c>
      <c r="E324" s="17"/>
      <c r="F324" s="17" t="s">
        <v>937</v>
      </c>
    </row>
    <row r="325" spans="2:6" x14ac:dyDescent="0.3">
      <c r="B325" s="1">
        <v>41008</v>
      </c>
      <c r="C325" s="16" t="s">
        <v>1004</v>
      </c>
      <c r="E325" s="17"/>
      <c r="F325" s="17" t="s">
        <v>1008</v>
      </c>
    </row>
    <row r="326" spans="2:6" x14ac:dyDescent="0.3">
      <c r="B326" s="1">
        <v>41009</v>
      </c>
      <c r="C326" s="16" t="s">
        <v>1005</v>
      </c>
      <c r="E326" s="17"/>
      <c r="F326" s="17" t="s">
        <v>1009</v>
      </c>
    </row>
    <row r="327" spans="2:6" x14ac:dyDescent="0.3">
      <c r="B327" s="1">
        <v>50001</v>
      </c>
      <c r="C327" s="16" t="s">
        <v>735</v>
      </c>
    </row>
    <row r="328" spans="2:6" x14ac:dyDescent="0.3">
      <c r="B328" s="1">
        <v>50002</v>
      </c>
      <c r="C328" s="16" t="s">
        <v>680</v>
      </c>
    </row>
    <row r="329" spans="2:6" x14ac:dyDescent="0.3">
      <c r="B329" s="1">
        <v>50003</v>
      </c>
      <c r="C329" t="s">
        <v>736</v>
      </c>
    </row>
    <row r="330" spans="2:6" x14ac:dyDescent="0.3">
      <c r="B330" s="1">
        <v>50004</v>
      </c>
      <c r="C330" s="16" t="s">
        <v>737</v>
      </c>
    </row>
    <row r="331" spans="2:6" x14ac:dyDescent="0.3">
      <c r="B331" s="1">
        <v>50005</v>
      </c>
      <c r="C331" t="s">
        <v>738</v>
      </c>
    </row>
    <row r="332" spans="2:6" x14ac:dyDescent="0.3">
      <c r="B332" s="1">
        <v>50006</v>
      </c>
      <c r="C332" s="16" t="s">
        <v>739</v>
      </c>
    </row>
    <row r="333" spans="2:6" x14ac:dyDescent="0.3">
      <c r="B333" s="1">
        <v>50007</v>
      </c>
      <c r="C333" s="16" t="s">
        <v>681</v>
      </c>
    </row>
    <row r="334" spans="2:6" x14ac:dyDescent="0.3">
      <c r="B334" s="1">
        <v>50008</v>
      </c>
      <c r="C334" s="16" t="s">
        <v>682</v>
      </c>
    </row>
    <row r="335" spans="2:6" x14ac:dyDescent="0.3">
      <c r="B335" s="1">
        <v>60001</v>
      </c>
      <c r="C335" s="7" t="s">
        <v>683</v>
      </c>
      <c r="E335" s="17" t="s">
        <v>760</v>
      </c>
    </row>
    <row r="336" spans="2:6" x14ac:dyDescent="0.3">
      <c r="B336" s="1">
        <v>60002</v>
      </c>
      <c r="C336" s="7" t="s">
        <v>683</v>
      </c>
      <c r="E336" s="17" t="s">
        <v>760</v>
      </c>
    </row>
    <row r="337" spans="2:5" x14ac:dyDescent="0.3">
      <c r="B337" s="1">
        <v>60003</v>
      </c>
      <c r="C337" s="7" t="s">
        <v>683</v>
      </c>
      <c r="E337" s="17" t="s">
        <v>760</v>
      </c>
    </row>
    <row r="338" spans="2:5" x14ac:dyDescent="0.3">
      <c r="B338" s="1">
        <v>60004</v>
      </c>
      <c r="C338" s="7" t="s">
        <v>683</v>
      </c>
      <c r="E338" s="17" t="s">
        <v>760</v>
      </c>
    </row>
    <row r="339" spans="2:5" x14ac:dyDescent="0.3">
      <c r="B339" s="1">
        <v>60005</v>
      </c>
      <c r="C339" s="7" t="s">
        <v>683</v>
      </c>
      <c r="E339" s="17" t="s">
        <v>760</v>
      </c>
    </row>
    <row r="340" spans="2:5" x14ac:dyDescent="0.3">
      <c r="B340" s="1">
        <v>60006</v>
      </c>
      <c r="C340" s="7" t="s">
        <v>683</v>
      </c>
      <c r="E340" s="17" t="s">
        <v>760</v>
      </c>
    </row>
    <row r="341" spans="2:5" x14ac:dyDescent="0.3">
      <c r="B341" s="1">
        <v>60007</v>
      </c>
      <c r="C341" s="7" t="s">
        <v>683</v>
      </c>
      <c r="E341" s="17" t="s">
        <v>760</v>
      </c>
    </row>
    <row r="342" spans="2:5" x14ac:dyDescent="0.3">
      <c r="B342" s="1">
        <v>60008</v>
      </c>
      <c r="C342" s="7" t="s">
        <v>683</v>
      </c>
      <c r="E342" s="17" t="s">
        <v>760</v>
      </c>
    </row>
    <row r="343" spans="2:5" x14ac:dyDescent="0.3">
      <c r="B343" s="1">
        <v>60009</v>
      </c>
      <c r="C343" s="7" t="s">
        <v>683</v>
      </c>
      <c r="E343" s="17" t="s">
        <v>760</v>
      </c>
    </row>
    <row r="344" spans="2:5" x14ac:dyDescent="0.3">
      <c r="B344" s="1">
        <v>60010</v>
      </c>
      <c r="C344" s="7" t="s">
        <v>683</v>
      </c>
      <c r="E344" s="17" t="s">
        <v>760</v>
      </c>
    </row>
    <row r="345" spans="2:5" x14ac:dyDescent="0.3">
      <c r="B345" s="1">
        <v>60011</v>
      </c>
      <c r="C345" s="7" t="s">
        <v>683</v>
      </c>
      <c r="E345" s="17" t="s">
        <v>760</v>
      </c>
    </row>
    <row r="346" spans="2:5" x14ac:dyDescent="0.3">
      <c r="B346" s="1">
        <v>60012</v>
      </c>
      <c r="C346" s="7" t="s">
        <v>683</v>
      </c>
      <c r="E346" s="17" t="s">
        <v>760</v>
      </c>
    </row>
    <row r="347" spans="2:5" x14ac:dyDescent="0.3">
      <c r="B347" s="1">
        <v>61001</v>
      </c>
      <c r="C347" s="7" t="s">
        <v>684</v>
      </c>
    </row>
    <row r="348" spans="2:5" x14ac:dyDescent="0.3">
      <c r="B348" s="1">
        <v>61002</v>
      </c>
      <c r="C348" s="7" t="s">
        <v>684</v>
      </c>
    </row>
    <row r="349" spans="2:5" x14ac:dyDescent="0.3">
      <c r="B349" s="1">
        <v>61003</v>
      </c>
      <c r="C349" s="7" t="s">
        <v>684</v>
      </c>
    </row>
    <row r="350" spans="2:5" x14ac:dyDescent="0.3">
      <c r="B350" s="1">
        <v>61004</v>
      </c>
      <c r="C350" s="7" t="s">
        <v>684</v>
      </c>
    </row>
    <row r="351" spans="2:5" x14ac:dyDescent="0.3">
      <c r="B351" s="1">
        <v>61005</v>
      </c>
      <c r="C351" s="7" t="s">
        <v>684</v>
      </c>
    </row>
    <row r="352" spans="2:5" x14ac:dyDescent="0.3">
      <c r="B352" s="1">
        <v>61006</v>
      </c>
      <c r="C352" s="7" t="s">
        <v>684</v>
      </c>
    </row>
    <row r="353" spans="2:5" x14ac:dyDescent="0.3">
      <c r="B353" s="1">
        <v>61007</v>
      </c>
      <c r="C353" s="7" t="s">
        <v>684</v>
      </c>
    </row>
    <row r="354" spans="2:5" x14ac:dyDescent="0.3">
      <c r="B354" s="1">
        <v>61008</v>
      </c>
      <c r="C354" s="7" t="s">
        <v>684</v>
      </c>
    </row>
    <row r="355" spans="2:5" x14ac:dyDescent="0.3">
      <c r="B355" s="1">
        <v>61009</v>
      </c>
      <c r="C355" s="7" t="s">
        <v>684</v>
      </c>
    </row>
    <row r="356" spans="2:5" x14ac:dyDescent="0.3">
      <c r="B356" s="1">
        <v>61010</v>
      </c>
      <c r="C356" s="7" t="s">
        <v>684</v>
      </c>
    </row>
    <row r="357" spans="2:5" x14ac:dyDescent="0.3">
      <c r="B357" s="1">
        <v>61011</v>
      </c>
      <c r="C357" s="7" t="s">
        <v>684</v>
      </c>
    </row>
    <row r="358" spans="2:5" x14ac:dyDescent="0.3">
      <c r="B358" s="1">
        <v>61012</v>
      </c>
      <c r="C358" s="7" t="s">
        <v>684</v>
      </c>
    </row>
    <row r="359" spans="2:5" x14ac:dyDescent="0.3">
      <c r="B359" s="1">
        <v>62001</v>
      </c>
      <c r="C359" s="7" t="s">
        <v>685</v>
      </c>
      <c r="E359" s="17" t="s">
        <v>761</v>
      </c>
    </row>
    <row r="360" spans="2:5" x14ac:dyDescent="0.3">
      <c r="B360" s="1">
        <v>62002</v>
      </c>
      <c r="C360" s="7" t="s">
        <v>685</v>
      </c>
      <c r="E360" s="17" t="s">
        <v>761</v>
      </c>
    </row>
    <row r="361" spans="2:5" x14ac:dyDescent="0.3">
      <c r="B361" s="1">
        <v>62003</v>
      </c>
      <c r="C361" s="7" t="s">
        <v>685</v>
      </c>
      <c r="E361" s="17" t="s">
        <v>761</v>
      </c>
    </row>
    <row r="362" spans="2:5" x14ac:dyDescent="0.3">
      <c r="B362" s="1">
        <v>62004</v>
      </c>
      <c r="C362" s="7" t="s">
        <v>685</v>
      </c>
      <c r="E362" s="17" t="s">
        <v>761</v>
      </c>
    </row>
    <row r="363" spans="2:5" x14ac:dyDescent="0.3">
      <c r="B363" s="1">
        <v>62005</v>
      </c>
      <c r="C363" s="7" t="s">
        <v>685</v>
      </c>
      <c r="E363" s="17" t="s">
        <v>761</v>
      </c>
    </row>
    <row r="364" spans="2:5" x14ac:dyDescent="0.3">
      <c r="B364" s="1">
        <v>62006</v>
      </c>
      <c r="C364" s="7" t="s">
        <v>685</v>
      </c>
      <c r="E364" s="17" t="s">
        <v>761</v>
      </c>
    </row>
    <row r="365" spans="2:5" x14ac:dyDescent="0.3">
      <c r="B365" s="1">
        <v>62007</v>
      </c>
      <c r="C365" s="7" t="s">
        <v>685</v>
      </c>
      <c r="E365" s="17" t="s">
        <v>761</v>
      </c>
    </row>
    <row r="366" spans="2:5" x14ac:dyDescent="0.3">
      <c r="B366" s="1">
        <v>62008</v>
      </c>
      <c r="C366" s="7" t="s">
        <v>685</v>
      </c>
      <c r="E366" s="17" t="s">
        <v>761</v>
      </c>
    </row>
    <row r="367" spans="2:5" x14ac:dyDescent="0.3">
      <c r="B367" s="1">
        <v>62009</v>
      </c>
      <c r="C367" s="7" t="s">
        <v>685</v>
      </c>
      <c r="E367" s="17" t="s">
        <v>761</v>
      </c>
    </row>
    <row r="368" spans="2:5" x14ac:dyDescent="0.3">
      <c r="B368" s="1">
        <v>62010</v>
      </c>
      <c r="C368" s="7" t="s">
        <v>685</v>
      </c>
      <c r="E368" s="17" t="s">
        <v>761</v>
      </c>
    </row>
    <row r="369" spans="2:5" x14ac:dyDescent="0.3">
      <c r="B369" s="1">
        <v>62011</v>
      </c>
      <c r="C369" s="7" t="s">
        <v>685</v>
      </c>
      <c r="E369" s="17" t="s">
        <v>761</v>
      </c>
    </row>
    <row r="370" spans="2:5" x14ac:dyDescent="0.3">
      <c r="B370" s="1">
        <v>62012</v>
      </c>
      <c r="C370" s="7" t="s">
        <v>685</v>
      </c>
      <c r="E370" s="17" t="s">
        <v>761</v>
      </c>
    </row>
    <row r="371" spans="2:5" x14ac:dyDescent="0.3">
      <c r="B371" s="1">
        <v>63001</v>
      </c>
      <c r="C371" s="7" t="s">
        <v>686</v>
      </c>
    </row>
    <row r="372" spans="2:5" x14ac:dyDescent="0.3">
      <c r="B372" s="1">
        <v>63002</v>
      </c>
      <c r="C372" s="7" t="s">
        <v>686</v>
      </c>
    </row>
    <row r="373" spans="2:5" x14ac:dyDescent="0.3">
      <c r="B373" s="1">
        <v>63003</v>
      </c>
      <c r="C373" s="7" t="s">
        <v>686</v>
      </c>
    </row>
    <row r="374" spans="2:5" x14ac:dyDescent="0.3">
      <c r="B374" s="1">
        <v>63004</v>
      </c>
      <c r="C374" s="7" t="s">
        <v>686</v>
      </c>
    </row>
    <row r="375" spans="2:5" x14ac:dyDescent="0.3">
      <c r="B375" s="1">
        <v>63005</v>
      </c>
      <c r="C375" s="7" t="s">
        <v>686</v>
      </c>
    </row>
    <row r="376" spans="2:5" x14ac:dyDescent="0.3">
      <c r="B376" s="1">
        <v>63006</v>
      </c>
      <c r="C376" s="7" t="s">
        <v>686</v>
      </c>
    </row>
    <row r="377" spans="2:5" x14ac:dyDescent="0.3">
      <c r="B377" s="1">
        <v>63007</v>
      </c>
      <c r="C377" s="7" t="s">
        <v>686</v>
      </c>
    </row>
    <row r="378" spans="2:5" x14ac:dyDescent="0.3">
      <c r="B378" s="1">
        <v>63008</v>
      </c>
      <c r="C378" s="7" t="s">
        <v>686</v>
      </c>
    </row>
    <row r="379" spans="2:5" x14ac:dyDescent="0.3">
      <c r="B379" s="1">
        <v>63009</v>
      </c>
      <c r="C379" s="7" t="s">
        <v>686</v>
      </c>
    </row>
    <row r="380" spans="2:5" x14ac:dyDescent="0.3">
      <c r="B380" s="1">
        <v>63010</v>
      </c>
      <c r="C380" s="7" t="s">
        <v>686</v>
      </c>
    </row>
    <row r="381" spans="2:5" x14ac:dyDescent="0.3">
      <c r="B381" s="1">
        <v>63011</v>
      </c>
      <c r="C381" s="7" t="s">
        <v>686</v>
      </c>
    </row>
    <row r="382" spans="2:5" x14ac:dyDescent="0.3">
      <c r="B382" s="1">
        <v>63012</v>
      </c>
      <c r="C382" s="7" t="s">
        <v>686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7A0E-23F5-47BB-8364-033E623E2811}">
  <dimension ref="A1:H9"/>
  <sheetViews>
    <sheetView workbookViewId="0">
      <selection activeCell="C17" sqref="C17"/>
    </sheetView>
  </sheetViews>
  <sheetFormatPr defaultRowHeight="13.5" x14ac:dyDescent="0.3"/>
  <cols>
    <col min="3" max="3" width="10.53125" customWidth="1"/>
    <col min="4" max="4" width="16.9296875" customWidth="1"/>
    <col min="5" max="5" width="12.73046875" customWidth="1"/>
    <col min="6" max="6" width="12.265625" customWidth="1"/>
    <col min="7" max="7" width="26.86328125" customWidth="1"/>
    <col min="8" max="8" width="13.53125" customWidth="1"/>
  </cols>
  <sheetData>
    <row r="1" spans="1:8" x14ac:dyDescent="0.3">
      <c r="A1" s="2" t="s">
        <v>0</v>
      </c>
      <c r="B1" s="1" t="s">
        <v>1</v>
      </c>
      <c r="C1" t="s">
        <v>28</v>
      </c>
      <c r="D1" t="s">
        <v>28</v>
      </c>
      <c r="E1" s="16" t="s">
        <v>783</v>
      </c>
      <c r="F1" s="16" t="s">
        <v>784</v>
      </c>
      <c r="G1" s="9" t="s">
        <v>8</v>
      </c>
      <c r="H1" s="16" t="s">
        <v>825</v>
      </c>
    </row>
    <row r="2" spans="1:8" x14ac:dyDescent="0.3">
      <c r="A2" s="2" t="s">
        <v>0</v>
      </c>
      <c r="B2" s="1"/>
      <c r="G2" s="9"/>
    </row>
    <row r="3" spans="1:8" x14ac:dyDescent="0.3">
      <c r="A3" s="3" t="s">
        <v>15</v>
      </c>
      <c r="B3" s="1" t="s">
        <v>16</v>
      </c>
      <c r="C3" t="s">
        <v>17</v>
      </c>
      <c r="D3" t="s">
        <v>17</v>
      </c>
      <c r="E3" s="16" t="s">
        <v>782</v>
      </c>
      <c r="F3" s="1" t="s">
        <v>16</v>
      </c>
      <c r="G3" s="9" t="s">
        <v>23</v>
      </c>
      <c r="H3" s="1" t="s">
        <v>16</v>
      </c>
    </row>
    <row r="4" spans="1:8" x14ac:dyDescent="0.3">
      <c r="A4" s="3" t="s">
        <v>25</v>
      </c>
      <c r="B4" s="1"/>
      <c r="G4" s="9" t="s">
        <v>26</v>
      </c>
    </row>
    <row r="5" spans="1:8" x14ac:dyDescent="0.3">
      <c r="A5" s="2" t="s">
        <v>28</v>
      </c>
      <c r="B5" s="1" t="s">
        <v>1</v>
      </c>
      <c r="C5" t="s">
        <v>29</v>
      </c>
      <c r="D5" t="s">
        <v>30</v>
      </c>
      <c r="E5" s="16" t="s">
        <v>781</v>
      </c>
      <c r="F5" s="16" t="s">
        <v>780</v>
      </c>
      <c r="G5" s="9" t="s">
        <v>36</v>
      </c>
      <c r="H5" s="16" t="s">
        <v>826</v>
      </c>
    </row>
    <row r="6" spans="1:8" x14ac:dyDescent="0.3">
      <c r="B6" s="24">
        <v>1050</v>
      </c>
      <c r="C6" s="23" t="s">
        <v>777</v>
      </c>
      <c r="D6" s="23" t="s">
        <v>777</v>
      </c>
      <c r="E6" s="41">
        <v>1</v>
      </c>
      <c r="F6">
        <v>100</v>
      </c>
      <c r="G6" s="13" t="s">
        <v>794</v>
      </c>
      <c r="H6">
        <v>0</v>
      </c>
    </row>
    <row r="7" spans="1:8" x14ac:dyDescent="0.3">
      <c r="B7" s="24">
        <v>1051</v>
      </c>
      <c r="C7" s="25" t="s">
        <v>779</v>
      </c>
      <c r="D7" s="25" t="s">
        <v>779</v>
      </c>
      <c r="E7" s="42">
        <v>1</v>
      </c>
      <c r="F7">
        <v>100</v>
      </c>
      <c r="G7" s="39" t="s">
        <v>792</v>
      </c>
      <c r="H7">
        <v>0</v>
      </c>
    </row>
    <row r="8" spans="1:8" x14ac:dyDescent="0.3">
      <c r="B8" s="1">
        <v>1011</v>
      </c>
      <c r="C8" s="20" t="s">
        <v>807</v>
      </c>
      <c r="D8" s="20" t="s">
        <v>809</v>
      </c>
      <c r="E8" s="43">
        <v>0</v>
      </c>
      <c r="F8">
        <v>100</v>
      </c>
      <c r="H8">
        <v>3010001</v>
      </c>
    </row>
    <row r="9" spans="1:8" x14ac:dyDescent="0.3">
      <c r="B9" s="1">
        <v>1061</v>
      </c>
      <c r="C9" s="25" t="s">
        <v>904</v>
      </c>
      <c r="D9" s="25" t="s">
        <v>904</v>
      </c>
      <c r="E9">
        <v>0</v>
      </c>
      <c r="F9">
        <v>100</v>
      </c>
      <c r="H9">
        <v>3010002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道具主表</vt:lpstr>
      <vt:lpstr>道具资源表</vt:lpstr>
      <vt:lpstr>道具合成表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2025-01-30T14:37:53Z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2052-12.1.0.17813</vt:lpwstr>
  </property>
  <property fmtid="{D5CDD505-2E9C-101B-9397-08002B2CF9AE}" pid="3" name="ICV">
    <vt:lpwstr>6C86DBBF58D441CCB3B12B6BBAAD3A6A_12</vt:lpwstr>
  </property>
</Properties>
</file>