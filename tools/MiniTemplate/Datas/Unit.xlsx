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7DC98B36-70A8-4CC6-BD66-3E54B1DE3B23}" xr6:coauthVersionLast="47" xr6:coauthVersionMax="47" xr10:uidLastSave="{00000000-0000-0000-0000-000000000000}"/>
  <bookViews>
    <workbookView xWindow="47880" yWindow="-120" windowWidth="29040" windowHeight="15720" xr2:uid="{00000000-000D-0000-FFFF-FFFF00000000}"/>
  </bookViews>
  <sheets>
    <sheet name="单位主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3" l="1"/>
  <c r="B89" i="3" s="1"/>
  <c r="B129" i="3" s="1"/>
  <c r="B50" i="3"/>
  <c r="B51" i="3"/>
  <c r="B91" i="3" s="1"/>
  <c r="B131" i="3" s="1"/>
  <c r="B52" i="3"/>
  <c r="B92" i="3" s="1"/>
  <c r="B132" i="3" s="1"/>
  <c r="B53" i="3"/>
  <c r="B54" i="3"/>
  <c r="B55" i="3"/>
  <c r="B56" i="3"/>
  <c r="B57" i="3"/>
  <c r="B58" i="3"/>
  <c r="B59" i="3"/>
  <c r="B99" i="3" s="1"/>
  <c r="B139" i="3" s="1"/>
  <c r="B60" i="3"/>
  <c r="B100" i="3" s="1"/>
  <c r="B140" i="3" s="1"/>
  <c r="B61" i="3"/>
  <c r="B101" i="3" s="1"/>
  <c r="B141" i="3" s="1"/>
  <c r="B62" i="3"/>
  <c r="B102" i="3" s="1"/>
  <c r="B142" i="3" s="1"/>
  <c r="B63" i="3"/>
  <c r="B103" i="3" s="1"/>
  <c r="B143" i="3" s="1"/>
  <c r="B64" i="3"/>
  <c r="B104" i="3" s="1"/>
  <c r="B144" i="3" s="1"/>
  <c r="B65" i="3"/>
  <c r="B105" i="3" s="1"/>
  <c r="B145" i="3" s="1"/>
  <c r="B66" i="3"/>
  <c r="B106" i="3" s="1"/>
  <c r="B146" i="3" s="1"/>
  <c r="B67" i="3"/>
  <c r="B107" i="3" s="1"/>
  <c r="B147" i="3" s="1"/>
  <c r="B68" i="3"/>
  <c r="B108" i="3" s="1"/>
  <c r="B148" i="3" s="1"/>
  <c r="B69" i="3"/>
  <c r="B109" i="3" s="1"/>
  <c r="B149" i="3" s="1"/>
  <c r="B70" i="3"/>
  <c r="B110" i="3" s="1"/>
  <c r="B150" i="3" s="1"/>
  <c r="B71" i="3"/>
  <c r="B111" i="3" s="1"/>
  <c r="B151" i="3" s="1"/>
  <c r="B72" i="3"/>
  <c r="B112" i="3" s="1"/>
  <c r="B152" i="3" s="1"/>
  <c r="B73" i="3"/>
  <c r="B113" i="3" s="1"/>
  <c r="B153" i="3" s="1"/>
  <c r="B74" i="3"/>
  <c r="B75" i="3"/>
  <c r="B115" i="3" s="1"/>
  <c r="B155" i="3" s="1"/>
  <c r="B76" i="3"/>
  <c r="B77" i="3"/>
  <c r="B78" i="3"/>
  <c r="B79" i="3"/>
  <c r="B80" i="3"/>
  <c r="B81" i="3"/>
  <c r="B82" i="3"/>
  <c r="B83" i="3"/>
  <c r="B84" i="3"/>
  <c r="B124" i="3" s="1"/>
  <c r="B164" i="3" s="1"/>
  <c r="B85" i="3"/>
  <c r="B125" i="3" s="1"/>
  <c r="B165" i="3" s="1"/>
  <c r="B86" i="3"/>
  <c r="B126" i="3" s="1"/>
  <c r="B166" i="3" s="1"/>
  <c r="B87" i="3"/>
  <c r="B127" i="3" s="1"/>
  <c r="B167" i="3" s="1"/>
  <c r="B90" i="3"/>
  <c r="B130" i="3" s="1"/>
  <c r="B93" i="3"/>
  <c r="B133" i="3" s="1"/>
  <c r="B94" i="3"/>
  <c r="B134" i="3" s="1"/>
  <c r="B95" i="3"/>
  <c r="B135" i="3" s="1"/>
  <c r="B96" i="3"/>
  <c r="B136" i="3" s="1"/>
  <c r="B97" i="3"/>
  <c r="B137" i="3" s="1"/>
  <c r="B98" i="3"/>
  <c r="B138" i="3" s="1"/>
  <c r="B114" i="3"/>
  <c r="B154" i="3" s="1"/>
  <c r="B116" i="3"/>
  <c r="B156" i="3" s="1"/>
  <c r="B117" i="3"/>
  <c r="B157" i="3" s="1"/>
  <c r="B118" i="3"/>
  <c r="B158" i="3" s="1"/>
  <c r="B119" i="3"/>
  <c r="B159" i="3" s="1"/>
  <c r="B120" i="3"/>
  <c r="B160" i="3" s="1"/>
  <c r="B121" i="3"/>
  <c r="B122" i="3"/>
  <c r="B123" i="3"/>
  <c r="B163" i="3" s="1"/>
  <c r="B161" i="3"/>
  <c r="B162" i="3"/>
  <c r="B48" i="3"/>
  <c r="B88" i="3" s="1"/>
  <c r="B128" i="3" s="1"/>
  <c r="H374" i="3"/>
  <c r="H377" i="3" s="1"/>
  <c r="H380" i="3" s="1"/>
  <c r="H383" i="3" s="1"/>
  <c r="H386" i="3" s="1"/>
  <c r="H389" i="3" s="1"/>
  <c r="H392" i="3" s="1"/>
  <c r="H395" i="3" s="1"/>
  <c r="H398" i="3" s="1"/>
  <c r="H401" i="3" s="1"/>
  <c r="H404" i="3" s="1"/>
  <c r="H407" i="3" s="1"/>
  <c r="H410" i="3" s="1"/>
  <c r="H413" i="3" s="1"/>
  <c r="H416" i="3" s="1"/>
  <c r="H419" i="3" s="1"/>
  <c r="H422" i="3" s="1"/>
  <c r="H425" i="3" s="1"/>
  <c r="H428" i="3" s="1"/>
  <c r="H431" i="3" s="1"/>
  <c r="H434" i="3" s="1"/>
  <c r="H437" i="3" s="1"/>
  <c r="H440" i="3" s="1"/>
  <c r="H443" i="3" s="1"/>
  <c r="H446" i="3" s="1"/>
  <c r="H449" i="3" s="1"/>
  <c r="H375" i="3"/>
  <c r="H378" i="3" s="1"/>
  <c r="H381" i="3" s="1"/>
  <c r="H384" i="3" s="1"/>
  <c r="H387" i="3" s="1"/>
  <c r="H390" i="3" s="1"/>
  <c r="H393" i="3" s="1"/>
  <c r="H396" i="3" s="1"/>
  <c r="H399" i="3" s="1"/>
  <c r="H402" i="3" s="1"/>
  <c r="H405" i="3" s="1"/>
  <c r="H408" i="3" s="1"/>
  <c r="H411" i="3" s="1"/>
  <c r="H414" i="3" s="1"/>
  <c r="H417" i="3" s="1"/>
  <c r="H420" i="3" s="1"/>
  <c r="H423" i="3" s="1"/>
  <c r="H426" i="3" s="1"/>
  <c r="H429" i="3" s="1"/>
  <c r="H432" i="3" s="1"/>
  <c r="H435" i="3" s="1"/>
  <c r="H438" i="3" s="1"/>
  <c r="H441" i="3" s="1"/>
  <c r="H444" i="3" s="1"/>
  <c r="H447" i="3" s="1"/>
  <c r="H450" i="3" s="1"/>
  <c r="H373" i="3"/>
  <c r="H376" i="3" s="1"/>
  <c r="H379" i="3" s="1"/>
  <c r="H382" i="3" s="1"/>
  <c r="H385" i="3" s="1"/>
  <c r="H388" i="3" s="1"/>
  <c r="H391" i="3" s="1"/>
  <c r="H394" i="3" s="1"/>
  <c r="H397" i="3" s="1"/>
  <c r="H400" i="3" s="1"/>
  <c r="H403" i="3" s="1"/>
  <c r="H406" i="3" s="1"/>
  <c r="H409" i="3" s="1"/>
  <c r="H412" i="3" s="1"/>
  <c r="H415" i="3" s="1"/>
  <c r="H418" i="3" s="1"/>
  <c r="H421" i="3" s="1"/>
  <c r="H424" i="3" s="1"/>
  <c r="H427" i="3" s="1"/>
  <c r="H430" i="3" s="1"/>
  <c r="H433" i="3" s="1"/>
  <c r="H436" i="3" s="1"/>
  <c r="H439" i="3" s="1"/>
  <c r="H442" i="3" s="1"/>
  <c r="H445" i="3" s="1"/>
  <c r="H448" i="3" s="1"/>
  <c r="G247" i="3" l="1"/>
  <c r="G267" i="3" s="1"/>
  <c r="G287" i="3" s="1"/>
  <c r="G307" i="3" s="1"/>
  <c r="G327" i="3" s="1"/>
  <c r="G347" i="3" s="1"/>
  <c r="G367" i="3" s="1"/>
  <c r="G246" i="3"/>
  <c r="G266" i="3" s="1"/>
  <c r="G286" i="3" s="1"/>
  <c r="G306" i="3" s="1"/>
  <c r="G326" i="3" s="1"/>
  <c r="G346" i="3" s="1"/>
  <c r="G366" i="3" s="1"/>
  <c r="G245" i="3"/>
  <c r="G265" i="3" s="1"/>
  <c r="G285" i="3" s="1"/>
  <c r="G305" i="3" s="1"/>
  <c r="G325" i="3" s="1"/>
  <c r="G345" i="3" s="1"/>
  <c r="G365" i="3" s="1"/>
  <c r="G244" i="3"/>
  <c r="G264" i="3" s="1"/>
  <c r="G284" i="3" s="1"/>
  <c r="G304" i="3" s="1"/>
  <c r="G324" i="3" s="1"/>
  <c r="G344" i="3" s="1"/>
  <c r="G364" i="3" s="1"/>
  <c r="G243" i="3"/>
  <c r="G263" i="3" s="1"/>
  <c r="G283" i="3" s="1"/>
  <c r="G303" i="3" s="1"/>
  <c r="G323" i="3" s="1"/>
  <c r="G343" i="3" s="1"/>
  <c r="G363" i="3" s="1"/>
  <c r="G242" i="3"/>
  <c r="G262" i="3" s="1"/>
  <c r="G282" i="3" s="1"/>
  <c r="G302" i="3" s="1"/>
  <c r="G322" i="3" s="1"/>
  <c r="G342" i="3" s="1"/>
  <c r="G362" i="3" s="1"/>
  <c r="G241" i="3"/>
  <c r="G261" i="3" s="1"/>
  <c r="G281" i="3" s="1"/>
  <c r="G301" i="3" s="1"/>
  <c r="G321" i="3" s="1"/>
  <c r="G341" i="3" s="1"/>
  <c r="G361" i="3" s="1"/>
  <c r="G240" i="3"/>
  <c r="G260" i="3" s="1"/>
  <c r="G280" i="3" s="1"/>
  <c r="G300" i="3" s="1"/>
  <c r="G320" i="3" s="1"/>
  <c r="G340" i="3" s="1"/>
  <c r="G360" i="3" s="1"/>
  <c r="G239" i="3"/>
  <c r="G259" i="3" s="1"/>
  <c r="G279" i="3" s="1"/>
  <c r="G299" i="3" s="1"/>
  <c r="G319" i="3" s="1"/>
  <c r="G339" i="3" s="1"/>
  <c r="G359" i="3" s="1"/>
  <c r="G238" i="3"/>
  <c r="G258" i="3" s="1"/>
  <c r="G278" i="3" s="1"/>
  <c r="G298" i="3" s="1"/>
  <c r="G318" i="3" s="1"/>
  <c r="G338" i="3" s="1"/>
  <c r="G358" i="3" s="1"/>
  <c r="G237" i="3"/>
  <c r="G257" i="3" s="1"/>
  <c r="G277" i="3" s="1"/>
  <c r="G297" i="3" s="1"/>
  <c r="G317" i="3" s="1"/>
  <c r="G337" i="3" s="1"/>
  <c r="G357" i="3" s="1"/>
  <c r="G236" i="3"/>
  <c r="G256" i="3" s="1"/>
  <c r="G276" i="3" s="1"/>
  <c r="G296" i="3" s="1"/>
  <c r="G316" i="3" s="1"/>
  <c r="G336" i="3" s="1"/>
  <c r="G356" i="3" s="1"/>
  <c r="G235" i="3"/>
  <c r="G255" i="3" s="1"/>
  <c r="G275" i="3" s="1"/>
  <c r="G295" i="3" s="1"/>
  <c r="G315" i="3" s="1"/>
  <c r="G335" i="3" s="1"/>
  <c r="G355" i="3" s="1"/>
  <c r="G234" i="3"/>
  <c r="G254" i="3" s="1"/>
  <c r="G274" i="3" s="1"/>
  <c r="G294" i="3" s="1"/>
  <c r="G314" i="3" s="1"/>
  <c r="G334" i="3" s="1"/>
  <c r="G354" i="3" s="1"/>
  <c r="G233" i="3"/>
  <c r="G253" i="3" s="1"/>
  <c r="G273" i="3" s="1"/>
  <c r="G293" i="3" s="1"/>
  <c r="G313" i="3" s="1"/>
  <c r="G333" i="3" s="1"/>
  <c r="G353" i="3" s="1"/>
  <c r="G232" i="3"/>
  <c r="G252" i="3" s="1"/>
  <c r="G272" i="3" s="1"/>
  <c r="G292" i="3" s="1"/>
  <c r="G312" i="3" s="1"/>
  <c r="G332" i="3" s="1"/>
  <c r="G352" i="3" s="1"/>
  <c r="G231" i="3"/>
  <c r="G251" i="3" s="1"/>
  <c r="G271" i="3" s="1"/>
  <c r="G291" i="3" s="1"/>
  <c r="G311" i="3" s="1"/>
  <c r="G331" i="3" s="1"/>
  <c r="G351" i="3" s="1"/>
  <c r="G230" i="3"/>
  <c r="G250" i="3" s="1"/>
  <c r="G270" i="3" s="1"/>
  <c r="G290" i="3" s="1"/>
  <c r="G310" i="3" s="1"/>
  <c r="G330" i="3" s="1"/>
  <c r="G350" i="3" s="1"/>
  <c r="G229" i="3"/>
  <c r="G249" i="3" s="1"/>
  <c r="G269" i="3" s="1"/>
  <c r="G289" i="3" s="1"/>
  <c r="G309" i="3" s="1"/>
  <c r="G329" i="3" s="1"/>
  <c r="G349" i="3" s="1"/>
  <c r="G228" i="3"/>
  <c r="G248" i="3" s="1"/>
  <c r="G268" i="3" s="1"/>
  <c r="G288" i="3" s="1"/>
  <c r="G308" i="3" s="1"/>
  <c r="G328" i="3" s="1"/>
  <c r="G34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1防守
2入侵
3协防</t>
        </r>
      </text>
    </comment>
  </commentList>
</comments>
</file>

<file path=xl/sharedStrings.xml><?xml version="1.0" encoding="utf-8"?>
<sst xmlns="http://schemas.openxmlformats.org/spreadsheetml/2006/main" count="1828" uniqueCount="644">
  <si>
    <t>##var</t>
  </si>
  <si>
    <t>id</t>
  </si>
  <si>
    <t>name</t>
  </si>
  <si>
    <t>UnitType</t>
  </si>
  <si>
    <t>FactionType</t>
  </si>
  <si>
    <t>groupId</t>
  </si>
  <si>
    <t>level</t>
  </si>
  <si>
    <t>avatar</t>
  </si>
  <si>
    <t>battleAttrValue</t>
  </si>
  <si>
    <t>seatNo</t>
  </si>
  <si>
    <t>buffs</t>
  </si>
  <si>
    <t>##type</t>
  </si>
  <si>
    <t>int</t>
  </si>
  <si>
    <t>string</t>
  </si>
  <si>
    <t>##group</t>
  </si>
  <si>
    <t>##</t>
  </si>
  <si>
    <t>备注</t>
  </si>
  <si>
    <t>单位类型</t>
  </si>
  <si>
    <t>阵营类型</t>
  </si>
  <si>
    <t>所属分组</t>
  </si>
  <si>
    <t>等级</t>
  </si>
  <si>
    <t>模型id</t>
  </si>
  <si>
    <t>战斗属性</t>
  </si>
  <si>
    <t>座位号</t>
  </si>
  <si>
    <t>男初始</t>
  </si>
  <si>
    <t>Hero</t>
  </si>
  <si>
    <t>女初始</t>
  </si>
  <si>
    <t>幽冥花妖</t>
  </si>
  <si>
    <t>Boss</t>
  </si>
  <si>
    <t>碧波龙神</t>
  </si>
  <si>
    <t>银甲虎王</t>
  </si>
  <si>
    <t>赤焰凤皇</t>
  </si>
  <si>
    <t>玄冥神龟</t>
  </si>
  <si>
    <t>两仪阵</t>
  </si>
  <si>
    <t>MagicCircle</t>
  </si>
  <si>
    <t>20001;20101</t>
  </si>
  <si>
    <t>20002;20102</t>
  </si>
  <si>
    <t>20003;20103</t>
  </si>
  <si>
    <t>20004;20104</t>
  </si>
  <si>
    <t>20005;20105</t>
  </si>
  <si>
    <t>20006;20106</t>
  </si>
  <si>
    <t>20007;20107</t>
  </si>
  <si>
    <t>20008;20108</t>
  </si>
  <si>
    <t>20009;20109</t>
  </si>
  <si>
    <t>20010;20110</t>
  </si>
  <si>
    <t>20011;20111</t>
  </si>
  <si>
    <t>20012;20112</t>
  </si>
  <si>
    <t>20013;20113</t>
  </si>
  <si>
    <t>20014;20114</t>
  </si>
  <si>
    <t>20015;20115</t>
  </si>
  <si>
    <t>20016;20116</t>
  </si>
  <si>
    <t>20017;20117</t>
  </si>
  <si>
    <t>20018;20118</t>
  </si>
  <si>
    <t>20019;20119</t>
  </si>
  <si>
    <t>20020;20120</t>
  </si>
  <si>
    <t>三才阵</t>
  </si>
  <si>
    <t>20201;20301</t>
  </si>
  <si>
    <t>20202;20302</t>
  </si>
  <si>
    <t>20203;20303</t>
  </si>
  <si>
    <t>20204;20304</t>
  </si>
  <si>
    <t>20205;20305</t>
  </si>
  <si>
    <t>20206;20306</t>
  </si>
  <si>
    <t>20207;20307</t>
  </si>
  <si>
    <t>20208;20308</t>
  </si>
  <si>
    <t>20209;20309</t>
  </si>
  <si>
    <t>20210;20310</t>
  </si>
  <si>
    <t>20211;20311</t>
  </si>
  <si>
    <t>20212;20312</t>
  </si>
  <si>
    <t>20213;20313</t>
  </si>
  <si>
    <t>20214;20314</t>
  </si>
  <si>
    <t>20215;20315</t>
  </si>
  <si>
    <t>20216;20316</t>
  </si>
  <si>
    <t>20217;20317</t>
  </si>
  <si>
    <t>20218;20318</t>
  </si>
  <si>
    <t>20219;20319</t>
  </si>
  <si>
    <t>20220;20320</t>
  </si>
  <si>
    <t>四象阵</t>
  </si>
  <si>
    <t>20401;20501</t>
  </si>
  <si>
    <t>20402;20502</t>
  </si>
  <si>
    <t>20403;20503</t>
  </si>
  <si>
    <t>20404;20504</t>
  </si>
  <si>
    <t>20405;20505</t>
  </si>
  <si>
    <t>20406;20506</t>
  </si>
  <si>
    <t>20407;20507</t>
  </si>
  <si>
    <t>20408;20508</t>
  </si>
  <si>
    <t>20409;20509</t>
  </si>
  <si>
    <t>20410;20510</t>
  </si>
  <si>
    <t>20411;20511</t>
  </si>
  <si>
    <t>20412;20512</t>
  </si>
  <si>
    <t>20413;20513</t>
  </si>
  <si>
    <t>20414;20514</t>
  </si>
  <si>
    <t>20415;20515</t>
  </si>
  <si>
    <t>20416;20516</t>
  </si>
  <si>
    <t>20417;20517</t>
  </si>
  <si>
    <t>20418;20518</t>
  </si>
  <si>
    <t>20419;20519</t>
  </si>
  <si>
    <t>20420;20520</t>
  </si>
  <si>
    <t>五行阵</t>
  </si>
  <si>
    <t>20601;20701</t>
  </si>
  <si>
    <t>20602;20702</t>
  </si>
  <si>
    <t>20603;20703</t>
  </si>
  <si>
    <t>20604;20704</t>
  </si>
  <si>
    <t>20605;20705</t>
  </si>
  <si>
    <t>20606;20706</t>
  </si>
  <si>
    <t>20607;20707</t>
  </si>
  <si>
    <t>20608;20708</t>
  </si>
  <si>
    <t>20609;20709</t>
  </si>
  <si>
    <t>20610;20710</t>
  </si>
  <si>
    <t>20611;20711</t>
  </si>
  <si>
    <t>20612;20712</t>
  </si>
  <si>
    <t>20613;20713</t>
  </si>
  <si>
    <t>20614;20714</t>
  </si>
  <si>
    <t>20615;20715</t>
  </si>
  <si>
    <t>20616;20716</t>
  </si>
  <si>
    <t>20617;20717</t>
  </si>
  <si>
    <t>20618;20718</t>
  </si>
  <si>
    <t>20619;20719</t>
  </si>
  <si>
    <t>20620;20720</t>
  </si>
  <si>
    <t>六合阵</t>
  </si>
  <si>
    <t>20801;20901</t>
  </si>
  <si>
    <t>20802;20902</t>
  </si>
  <si>
    <t>20803;20903</t>
  </si>
  <si>
    <t>20804;20904</t>
  </si>
  <si>
    <t>20805;20905</t>
  </si>
  <si>
    <t>20806;20906</t>
  </si>
  <si>
    <t>20807;20907</t>
  </si>
  <si>
    <t>20808;20908</t>
  </si>
  <si>
    <t>20809;20909</t>
  </si>
  <si>
    <t>20810;20910</t>
  </si>
  <si>
    <t>20811;20911</t>
  </si>
  <si>
    <t>20812;20912</t>
  </si>
  <si>
    <t>20813;20913</t>
  </si>
  <si>
    <t>20814;20914</t>
  </si>
  <si>
    <t>20815;20915</t>
  </si>
  <si>
    <t>20816;20916</t>
  </si>
  <si>
    <t>20817;20917</t>
  </si>
  <si>
    <t>20818;20918</t>
  </si>
  <si>
    <t>20819;20919</t>
  </si>
  <si>
    <t>20820;20920</t>
  </si>
  <si>
    <t>七星阵</t>
  </si>
  <si>
    <t>21001;21101</t>
  </si>
  <si>
    <t>21002;21102</t>
  </si>
  <si>
    <t>21003;21103</t>
  </si>
  <si>
    <t>21004;21104</t>
  </si>
  <si>
    <t>21005;21105</t>
  </si>
  <si>
    <t>21006;21106</t>
  </si>
  <si>
    <t>21007;21107</t>
  </si>
  <si>
    <t>21008;21108</t>
  </si>
  <si>
    <t>21009;21109</t>
  </si>
  <si>
    <t>21010;21110</t>
  </si>
  <si>
    <t>21011;21111</t>
  </si>
  <si>
    <t>21012;21112</t>
  </si>
  <si>
    <t>21013;21113</t>
  </si>
  <si>
    <t>21014;21114</t>
  </si>
  <si>
    <t>21015;21115</t>
  </si>
  <si>
    <t>21016;21116</t>
  </si>
  <si>
    <t>21017;21117</t>
  </si>
  <si>
    <t>21018;21118</t>
  </si>
  <si>
    <t>21019;21119</t>
  </si>
  <si>
    <t>21020;21120</t>
  </si>
  <si>
    <t>八卦阵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</si>
  <si>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</si>
  <si>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</si>
  <si>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</si>
  <si>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</si>
  <si>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</si>
  <si>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</si>
  <si>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</si>
  <si>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</si>
  <si>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</si>
  <si>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</si>
  <si>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</si>
  <si>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</si>
  <si>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</si>
  <si>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</si>
  <si>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</si>
  <si>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</si>
  <si>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</si>
  <si>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</si>
  <si>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</si>
  <si>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</si>
  <si>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九宫阵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</si>
  <si>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</si>
  <si>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</si>
  <si>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</si>
  <si>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</si>
  <si>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</si>
  <si>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</si>
  <si>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</si>
  <si>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</si>
  <si>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</si>
  <si>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</si>
  <si>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</si>
  <si>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</si>
  <si>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</si>
  <si>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</si>
  <si>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</si>
  <si>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</si>
  <si>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</si>
  <si>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</si>
  <si>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</si>
  <si>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</si>
  <si>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玄武</t>
  </si>
  <si>
    <t>1,7000</t>
  </si>
  <si>
    <t>朱雀</t>
  </si>
  <si>
    <t>1,20000</t>
  </si>
  <si>
    <t>风属性伤害3%\n风属性减伤3%</t>
  </si>
  <si>
    <t>风属性伤害6%\n风属性减伤6%</t>
  </si>
  <si>
    <t>风属性伤害9%\n风属性减伤9%</t>
  </si>
  <si>
    <t>风属性伤害12%\n风属性减伤12%</t>
  </si>
  <si>
    <t>风属性伤害15%\n风属性减伤15%</t>
  </si>
  <si>
    <t>风属性伤害18%\n风属性减伤18%</t>
  </si>
  <si>
    <t>风属性伤害21%\n风属性减伤21%</t>
  </si>
  <si>
    <t>风属性伤害24%\n风属性减伤24%</t>
  </si>
  <si>
    <t>风属性伤害27%\n风属性减伤27%</t>
  </si>
  <si>
    <t>风属性伤害30%\n风属性减伤30%</t>
  </si>
  <si>
    <t>风属性伤害33%\n风属性减伤33%</t>
  </si>
  <si>
    <t>风属性伤害36%\n风属性减伤36%</t>
  </si>
  <si>
    <t>风属性伤害39%\n风属性减伤39%</t>
  </si>
  <si>
    <t>风属性伤害42%\n风属性减伤42%</t>
  </si>
  <si>
    <t>风属性伤害45%\n风属性减伤45%</t>
  </si>
  <si>
    <t>风属性伤害48%\n风属性减伤48%</t>
  </si>
  <si>
    <t>风属性伤害51%\n风属性减伤51%</t>
  </si>
  <si>
    <t>风属性伤害54%\n风属性减伤54%</t>
  </si>
  <si>
    <t>风属性伤害57%\n风属性减伤57%</t>
  </si>
  <si>
    <t>风属性伤害60%\n风属性减伤60%</t>
  </si>
  <si>
    <t>土属性伤害3%\n土属性减伤3%</t>
  </si>
  <si>
    <t>土属性伤害6%\n土属性减伤6%</t>
  </si>
  <si>
    <t>土属性伤害9%\n土属性减伤9%</t>
  </si>
  <si>
    <t>土属性伤害12%\n土属性减伤12%</t>
  </si>
  <si>
    <t>土属性伤害15%\n土属性减伤15%</t>
  </si>
  <si>
    <t>土属性伤害18%\n土属性减伤18%</t>
  </si>
  <si>
    <t>土属性伤害21%\n土属性减伤21%</t>
  </si>
  <si>
    <t>土属性伤害24%\n土属性减伤24%</t>
  </si>
  <si>
    <t>土属性伤害27%\n土属性减伤27%</t>
  </si>
  <si>
    <t>土属性伤害30%\n土属性减伤30%</t>
  </si>
  <si>
    <t>土属性伤害33%\n土属性减伤33%</t>
  </si>
  <si>
    <t>土属性伤害36%\n土属性减伤36%</t>
  </si>
  <si>
    <t>土属性伤害39%\n土属性减伤39%</t>
  </si>
  <si>
    <t>土属性伤害42%\n土属性减伤42%</t>
  </si>
  <si>
    <t>土属性伤害45%\n土属性减伤45%</t>
  </si>
  <si>
    <t>土属性伤害48%\n土属性减伤48%</t>
  </si>
  <si>
    <t>土属性伤害51%\n土属性减伤51%</t>
  </si>
  <si>
    <t>土属性伤害54%\n土属性减伤54%</t>
  </si>
  <si>
    <t>土属性伤害57%\n土属性减伤57%</t>
  </si>
  <si>
    <t>土属性伤害60%\n土属性减伤60%</t>
  </si>
  <si>
    <t>水属性伤害3%\n水属性减伤3%</t>
  </si>
  <si>
    <t>水属性伤害6%\n水属性减伤6%</t>
  </si>
  <si>
    <t>水属性伤害9%\n水属性减伤9%</t>
  </si>
  <si>
    <t>水属性伤害12%\n水属性减伤12%</t>
  </si>
  <si>
    <t>水属性伤害15%\n水属性减伤15%</t>
  </si>
  <si>
    <t>水属性伤害18%\n水属性减伤18%</t>
  </si>
  <si>
    <t>水属性伤害21%\n水属性减伤21%</t>
  </si>
  <si>
    <t>水属性伤害24%\n水属性减伤24%</t>
  </si>
  <si>
    <t>水属性伤害27%\n水属性减伤27%</t>
  </si>
  <si>
    <t>水属性伤害30%\n水属性减伤30%</t>
  </si>
  <si>
    <t>水属性伤害33%\n水属性减伤33%</t>
  </si>
  <si>
    <t>水属性伤害36%\n水属性减伤36%</t>
  </si>
  <si>
    <t>水属性伤害39%\n水属性减伤39%</t>
  </si>
  <si>
    <t>水属性伤害42%\n水属性减伤42%</t>
  </si>
  <si>
    <t>水属性伤害45%\n水属性减伤45%</t>
  </si>
  <si>
    <t>水属性伤害48%\n水属性减伤48%</t>
  </si>
  <si>
    <t>水属性伤害51%\n水属性减伤51%</t>
  </si>
  <si>
    <t>水属性伤害54%\n水属性减伤54%</t>
  </si>
  <si>
    <t>水属性伤害57%\n水属性减伤57%</t>
  </si>
  <si>
    <t>水属性伤害60%\n水属性减伤60%</t>
  </si>
  <si>
    <t>火属性伤害3%\n火属性减伤3%</t>
  </si>
  <si>
    <t>火属性伤害6%\n火属性减伤6%</t>
  </si>
  <si>
    <t>火属性伤害9%\n火属性减伤9%</t>
  </si>
  <si>
    <t>火属性伤害12%\n火属性减伤12%</t>
  </si>
  <si>
    <t>火属性伤害15%\n火属性减伤15%</t>
  </si>
  <si>
    <t>火属性伤害18%\n火属性减伤18%</t>
  </si>
  <si>
    <t>火属性伤害21%\n火属性减伤21%</t>
  </si>
  <si>
    <t>火属性伤害24%\n火属性减伤24%</t>
  </si>
  <si>
    <t>火属性伤害27%\n火属性减伤27%</t>
  </si>
  <si>
    <t>火属性伤害30%\n火属性减伤30%</t>
  </si>
  <si>
    <t>火属性伤害33%\n火属性减伤33%</t>
  </si>
  <si>
    <t>火属性伤害36%\n火属性减伤36%</t>
  </si>
  <si>
    <t>火属性伤害39%\n火属性减伤39%</t>
  </si>
  <si>
    <t>火属性伤害42%\n火属性减伤42%</t>
  </si>
  <si>
    <t>火属性伤害45%\n火属性减伤45%</t>
  </si>
  <si>
    <t>火属性伤害48%\n火属性减伤48%</t>
  </si>
  <si>
    <t>火属性伤害51%\n火属性减伤51%</t>
  </si>
  <si>
    <t>火属性伤害54%\n火属性减伤54%</t>
  </si>
  <si>
    <t>火属性伤害57%\n火属性减伤57%</t>
  </si>
  <si>
    <t>火属性伤害60%\n火属性减伤60%</t>
  </si>
  <si>
    <t>治疗效果3%\n禁疗效果3%</t>
  </si>
  <si>
    <t>治疗效果5%\n禁疗效果5%</t>
  </si>
  <si>
    <t>治疗效果8%\n禁疗效果8%</t>
  </si>
  <si>
    <t>治疗效果10%\n禁疗效果10%</t>
  </si>
  <si>
    <t>治疗效果13%\n禁疗效果13%</t>
  </si>
  <si>
    <t>治疗效果15%\n禁疗效果15%</t>
  </si>
  <si>
    <t>治疗效果18%\n禁疗效果18%</t>
  </si>
  <si>
    <t>治疗效果20%\n禁疗效果20%</t>
  </si>
  <si>
    <t>治疗效果23%\n禁疗效果23%</t>
  </si>
  <si>
    <t>治疗效果25%\n禁疗效果25%</t>
  </si>
  <si>
    <t>治疗效果28%\n禁疗效果28%</t>
  </si>
  <si>
    <t>治疗效果30%\n禁疗效果30%</t>
  </si>
  <si>
    <t>治疗效果33%\n禁疗效果33%</t>
  </si>
  <si>
    <t>治疗效果35%\n禁疗效果35%</t>
  </si>
  <si>
    <t>治疗效果38%\n禁疗效果38%</t>
  </si>
  <si>
    <t>治疗效果40%\n禁疗效果40%</t>
  </si>
  <si>
    <t>治疗效果43%\n禁疗效果43%</t>
  </si>
  <si>
    <t>治疗效果45%\n禁疗效果45%</t>
  </si>
  <si>
    <t>治疗效果48%\n禁疗效果48%</t>
  </si>
  <si>
    <t>治疗效果50%\n禁疗效果50%</t>
  </si>
  <si>
    <t>吸血效果2%\n禁吸血效果2%</t>
  </si>
  <si>
    <t>吸血效果4%\n禁吸血效果4%</t>
  </si>
  <si>
    <t>吸血效果6%\n禁吸血效果6%</t>
  </si>
  <si>
    <t>吸血效果8%\n禁吸血效果8%</t>
  </si>
  <si>
    <t>吸血效果10%\n禁吸血效果10%</t>
  </si>
  <si>
    <t>吸血效果12%\n禁吸血效果12%</t>
  </si>
  <si>
    <t>吸血效果14%\n禁吸血效果14%</t>
  </si>
  <si>
    <t>吸血效果16%\n禁吸血效果16%</t>
  </si>
  <si>
    <t>吸血效果18%\n禁吸血效果18%</t>
  </si>
  <si>
    <t>吸血效果20%\n禁吸血效果20%</t>
  </si>
  <si>
    <t>吸血效果22%\n禁吸血效果22%</t>
  </si>
  <si>
    <t>吸血效果24%\n禁吸血效果24%</t>
  </si>
  <si>
    <t>吸血效果26%\n禁吸血效果26%</t>
  </si>
  <si>
    <t>吸血效果28%\n禁吸血效果28%</t>
  </si>
  <si>
    <t>吸血效果30%\n禁吸血效果30%</t>
  </si>
  <si>
    <t>吸血效果32%\n禁吸血效果32%</t>
  </si>
  <si>
    <t>吸血效果34%\n禁吸血效果34%</t>
  </si>
  <si>
    <t>吸血效果36%\n禁吸血效果36%</t>
  </si>
  <si>
    <t>吸血效果38%\n禁吸血效果38%</t>
  </si>
  <si>
    <t>吸血效果40%\n禁吸血效果40%</t>
  </si>
  <si>
    <t>减免伤害2%</t>
  </si>
  <si>
    <t>减免伤害4%</t>
  </si>
  <si>
    <t>减免伤害6%</t>
  </si>
  <si>
    <t>减免伤害8%</t>
  </si>
  <si>
    <t>减免伤害10%</t>
  </si>
  <si>
    <t>减免伤害12%</t>
  </si>
  <si>
    <t>减免伤害14%</t>
  </si>
  <si>
    <t>减免伤害16%</t>
  </si>
  <si>
    <t>减免伤害18%</t>
  </si>
  <si>
    <t>减免伤害20%</t>
  </si>
  <si>
    <t>减免伤害22%</t>
  </si>
  <si>
    <t>减免伤害24%</t>
  </si>
  <si>
    <t>减免伤害26%</t>
  </si>
  <si>
    <t>减免伤害28%</t>
  </si>
  <si>
    <t>减免伤害30%</t>
  </si>
  <si>
    <t>减免伤害32%</t>
  </si>
  <si>
    <t>减免伤害34%</t>
  </si>
  <si>
    <t>减免伤害36%</t>
  </si>
  <si>
    <t>减免伤害38%</t>
  </si>
  <si>
    <t>减免伤害40%</t>
  </si>
  <si>
    <t>增加伤害2%</t>
  </si>
  <si>
    <t>增加伤害4%</t>
  </si>
  <si>
    <t>增加伤害6%</t>
  </si>
  <si>
    <t>增加伤害8%</t>
  </si>
  <si>
    <t>增加伤害10%</t>
  </si>
  <si>
    <t>增加伤害12%</t>
  </si>
  <si>
    <t>增加伤害14%</t>
  </si>
  <si>
    <t>增加伤害16%</t>
  </si>
  <si>
    <t>增加伤害18%</t>
  </si>
  <si>
    <t>增加伤害20%</t>
  </si>
  <si>
    <t>增加伤害22%</t>
  </si>
  <si>
    <t>增加伤害24%</t>
  </si>
  <si>
    <t>增加伤害26%</t>
  </si>
  <si>
    <t>增加伤害28%</t>
  </si>
  <si>
    <t>增加伤害30%</t>
  </si>
  <si>
    <t>增加伤害32%</t>
  </si>
  <si>
    <t>增加伤害34%</t>
  </si>
  <si>
    <t>增加伤害36%</t>
  </si>
  <si>
    <t>增加伤害38%</t>
  </si>
  <si>
    <t>增加伤害40%</t>
  </si>
  <si>
    <t>buffDesc</t>
    <phoneticPr fontId="8" type="noConversion"/>
  </si>
  <si>
    <t>buff描述</t>
    <phoneticPr fontId="8" type="noConversion"/>
  </si>
  <si>
    <t>int?#ref=Battle.TbBattleGroup</t>
    <phoneticPr fontId="8" type="noConversion"/>
  </si>
  <si>
    <t>(list#sep=;),int#ref=Battle.TbBuffMain</t>
    <phoneticPr fontId="8" type="noConversion"/>
  </si>
  <si>
    <t>1,160;2,0;3,6400;4,6400;5,2000;23,400;24,10000</t>
    <phoneticPr fontId="8" type="noConversion"/>
  </si>
  <si>
    <t>s</t>
    <phoneticPr fontId="8" type="noConversion"/>
  </si>
  <si>
    <t>92</t>
    <phoneticPr fontId="8" type="noConversion"/>
  </si>
  <si>
    <t>Unit.UnitType</t>
    <phoneticPr fontId="8" type="noConversion"/>
  </si>
  <si>
    <t>青铜III守卫</t>
  </si>
  <si>
    <t>青铜III精英</t>
  </si>
  <si>
    <t>青铜III队长</t>
  </si>
  <si>
    <t>青铜II守卫</t>
  </si>
  <si>
    <t>青铜II精英</t>
  </si>
  <si>
    <t>青铜II队长</t>
  </si>
  <si>
    <t>青铜I守卫</t>
  </si>
  <si>
    <t>青铜I精英</t>
  </si>
  <si>
    <t>青铜I队长</t>
  </si>
  <si>
    <t>白银III守卫</t>
  </si>
  <si>
    <t>白银III精英</t>
  </si>
  <si>
    <t>白银III队长</t>
  </si>
  <si>
    <t>白银II守卫</t>
  </si>
  <si>
    <t>白银II精英</t>
  </si>
  <si>
    <t>白银II队长</t>
  </si>
  <si>
    <t>白银I守卫</t>
  </si>
  <si>
    <t>白银I精英</t>
  </si>
  <si>
    <t>白银I队长</t>
  </si>
  <si>
    <t>黄金III守卫</t>
  </si>
  <si>
    <t>黄金III精英</t>
  </si>
  <si>
    <t>黄金III队长</t>
  </si>
  <si>
    <t>黄金II守卫</t>
  </si>
  <si>
    <t>黄金II精英</t>
  </si>
  <si>
    <t>黄金II队长</t>
  </si>
  <si>
    <t>黄金I守卫</t>
  </si>
  <si>
    <t>黄金I精英</t>
  </si>
  <si>
    <t>黄金I队长</t>
  </si>
  <si>
    <t>铂金III守卫</t>
  </si>
  <si>
    <t>铂金III精英</t>
  </si>
  <si>
    <t>铂金III队长</t>
  </si>
  <si>
    <t>铂金II守卫</t>
  </si>
  <si>
    <t>铂金II精英</t>
  </si>
  <si>
    <t>铂金II队长</t>
  </si>
  <si>
    <t>铂金I守卫</t>
  </si>
  <si>
    <t>铂金I精英</t>
  </si>
  <si>
    <t>铂金I队长</t>
  </si>
  <si>
    <t>钻石III守卫</t>
  </si>
  <si>
    <t>钻石III精英</t>
  </si>
  <si>
    <t>钻石III队长</t>
  </si>
  <si>
    <t>钻石II守卫</t>
  </si>
  <si>
    <t>钻石II精英</t>
  </si>
  <si>
    <t>钻石II队长</t>
  </si>
  <si>
    <t>钻石I守卫</t>
  </si>
  <si>
    <t>钻石I精英</t>
  </si>
  <si>
    <t>钻石I队长</t>
  </si>
  <si>
    <t>星耀III守卫</t>
  </si>
  <si>
    <t>星耀III精英</t>
  </si>
  <si>
    <t>星耀III队长</t>
  </si>
  <si>
    <t>星耀II守卫</t>
  </si>
  <si>
    <t>星耀II精英</t>
  </si>
  <si>
    <t>星耀II队长</t>
  </si>
  <si>
    <t>星耀I守卫</t>
  </si>
  <si>
    <t>星耀I精英</t>
  </si>
  <si>
    <t>星耀I队长</t>
  </si>
  <si>
    <t>王者1守卫</t>
  </si>
  <si>
    <t>王者1精英</t>
  </si>
  <si>
    <t>王者1队长</t>
  </si>
  <si>
    <t>王者2守卫</t>
  </si>
  <si>
    <t>王者2精英</t>
  </si>
  <si>
    <t>王者2队长</t>
  </si>
  <si>
    <t>王者3守卫</t>
  </si>
  <si>
    <t>王者3精英</t>
  </si>
  <si>
    <t>王者3队长</t>
  </si>
  <si>
    <t>王者4守卫</t>
  </si>
  <si>
    <t>王者4精英</t>
  </si>
  <si>
    <t>王者4队长</t>
  </si>
  <si>
    <t>王者5守卫</t>
  </si>
  <si>
    <t>王者5精英</t>
  </si>
  <si>
    <t>王者5队长</t>
  </si>
  <si>
    <t>王者6守卫</t>
  </si>
  <si>
    <t>王者6精英</t>
  </si>
  <si>
    <t>王者6队长</t>
  </si>
  <si>
    <t>王者7守卫</t>
  </si>
  <si>
    <t>王者7精英</t>
  </si>
  <si>
    <t>王者7队长</t>
  </si>
  <si>
    <t>王者8守卫</t>
  </si>
  <si>
    <t>王者8精英</t>
  </si>
  <si>
    <t>王者8队长</t>
  </si>
  <si>
    <t>王者9守卫</t>
  </si>
  <si>
    <t>王者9精英</t>
  </si>
  <si>
    <t>王者9队长</t>
  </si>
  <si>
    <t>1,1827;4,73116;23,400;24,10000</t>
  </si>
  <si>
    <t>1,2284;4,91395;23,400;24,10000</t>
  </si>
  <si>
    <t>1,2740;4,109674;23,400;24,10000</t>
  </si>
  <si>
    <t>1,4652;4,186092;23,400;24,10000</t>
  </si>
  <si>
    <t>1,5815;4,232616;23,400;24,10000</t>
  </si>
  <si>
    <t>1,6978;4,279139;23,400;24,10000</t>
  </si>
  <si>
    <t>1,7968;4,318739;23,400;24,10000</t>
  </si>
  <si>
    <t>1,9960;4,398424;23,400;24,10000</t>
  </si>
  <si>
    <t>1,11952;4,478108;23,400;24,10000</t>
  </si>
  <si>
    <t>1,11538;4,461567;23,400;24,10000</t>
  </si>
  <si>
    <t>1,14423;4,576959;23,400;24,10000</t>
  </si>
  <si>
    <t>1,17307;4,692350;23,400;24,10000</t>
  </si>
  <si>
    <t>1,15344;4,613797;23,400;24,10000</t>
  </si>
  <si>
    <t>1,19181;4,767247;23,400;24,10000</t>
  </si>
  <si>
    <t>1,23017;4,920696;23,400;24,10000</t>
  </si>
  <si>
    <t>1,18783;4,751348;23,400;24,10000</t>
  </si>
  <si>
    <t>1,23479;4,939185;23,400;24,10000</t>
  </si>
  <si>
    <t>1,28174;4,1127022;23,400;24,10000</t>
  </si>
  <si>
    <t>1,25614;4,1024584;23,400;24,10000</t>
  </si>
  <si>
    <t>1,32018;4,1280731;23,400;24,10000</t>
  </si>
  <si>
    <t>1,38421;4,1536877;23,400;24,10000</t>
  </si>
  <si>
    <t>1,31528;4,1261156;23,400;24,10000</t>
  </si>
  <si>
    <t>1,39411;4,1576446;23,400;24,10000</t>
  </si>
  <si>
    <t>1,47293;4,1891735;23,400;24,10000</t>
  </si>
  <si>
    <t>1,38036;4,1521446;23,400;24,10000</t>
  </si>
  <si>
    <t>1,47545;4,1901808;23,400;24,10000</t>
  </si>
  <si>
    <t>1,57054;4,2282169;23,400;24,10000</t>
  </si>
  <si>
    <t>1,49377;4,1975120;23,400;24,10000</t>
  </si>
  <si>
    <t>1,61722;4,2468900;23,400;24,10000</t>
  </si>
  <si>
    <t>1,74066;4,2962680;23,400;24,10000</t>
  </si>
  <si>
    <t>1,61007;4,2440308;23,400;24,10000</t>
  </si>
  <si>
    <t>1,76259;4,3050385;23,400;24,10000</t>
  </si>
  <si>
    <t>1,91510;4,3660462;23,400;24,10000</t>
  </si>
  <si>
    <t>1,74898;4,2995948;23,400;24,10000</t>
  </si>
  <si>
    <t>1,93623;4,3744935;23,400;24,10000</t>
  </si>
  <si>
    <t>1,112347;4,4493922;23,400;24,10000</t>
  </si>
  <si>
    <t>1,100552;4,4022084;23,400;24,10000</t>
  </si>
  <si>
    <t>1,125690;4,5027605;23,400;24,10000</t>
  </si>
  <si>
    <t>1,150828;4,6033126;23,400;24,10000</t>
  </si>
  <si>
    <t>1,129372;4,5174903;23,400;24,10000</t>
  </si>
  <si>
    <t>1,161715;4,6468629;23,400;24,10000</t>
  </si>
  <si>
    <t>1,194058;4,7762354;23,400;24,10000</t>
  </si>
  <si>
    <t>1,155418;4,6216758;23,400;24,10000</t>
  </si>
  <si>
    <t>1,194273;4,7770948;23,400;24,10000</t>
  </si>
  <si>
    <t>1,233127;4,9325137;23,400;24,10000</t>
  </si>
  <si>
    <t>1,195960;4,7838463;23,400;24,10000</t>
  </si>
  <si>
    <t>1,244951;4,9798079;23,400;24,10000</t>
  </si>
  <si>
    <t>1,293941;4,11757694;23,400;24,10000</t>
  </si>
  <si>
    <t>1,233375;4,9335037;23,400;24,10000</t>
  </si>
  <si>
    <t>1,291719;4,11668797;23,400;24,10000</t>
  </si>
  <si>
    <t>1,350062;4,14002556;23,400;24,10000</t>
  </si>
  <si>
    <t>1,273448;4,10937982;23,400;24,10000</t>
  </si>
  <si>
    <t>1,341811;4,13672478;23,400;24,10000</t>
  </si>
  <si>
    <t>1,410173;4,16406973;23,400;24,10000</t>
  </si>
  <si>
    <t>1,322805;4,12912224;23,400;24,10000</t>
  </si>
  <si>
    <t>1,403507;4,16140281;23,400;24,10000</t>
  </si>
  <si>
    <t>1,484208;4,19368337;23,400;24,10000</t>
  </si>
  <si>
    <t>1,374038;4,14961540;23,400;24,10000</t>
  </si>
  <si>
    <t>1,467548;4,18701925;23,400;24,10000</t>
  </si>
  <si>
    <t>1,561057;4,22442310;23,400;24,10000</t>
  </si>
  <si>
    <t>1,426281;4,17051280;23,400;24,10000</t>
  </si>
  <si>
    <t>1,532852;4,21314100;23,400;24,10000</t>
  </si>
  <si>
    <t>1,639422;4,25576920;23,400;24,10000</t>
  </si>
  <si>
    <t>1,476289;4,19051586;23,400;24,10000</t>
  </si>
  <si>
    <t>1,595362;4,23814483;23,400;24,10000</t>
  </si>
  <si>
    <t>1,714434;4,28577379;23,400;24,10000</t>
  </si>
  <si>
    <t>1,529369;4,21174808;23,400;24,10000</t>
  </si>
  <si>
    <t>1,661712;4,26468511;23,400;24,10000</t>
  </si>
  <si>
    <t>1,794054;4,31762213;23,400;24,10000</t>
  </si>
  <si>
    <t>1,582108;4,23284353;23,400;24,10000</t>
  </si>
  <si>
    <t>1,727636;4,29105442;23,400;24,10000</t>
  </si>
  <si>
    <t>1,873163;4,34926530;23,400;24,10000</t>
  </si>
  <si>
    <t>1,630496;4,25219869;23,400;24,10000</t>
  </si>
  <si>
    <t>1,788120;4,31524837;23,400;24,10000</t>
  </si>
  <si>
    <t>1,945744;4,37829804;23,400;24,10000</t>
  </si>
  <si>
    <t>1,684832;4,27393280;23,400;24,10000</t>
  </si>
  <si>
    <t>1,856040;4,34241601;23,400;24,10000</t>
  </si>
  <si>
    <t>1,1027248;4,41089921;23,400;24,10000</t>
  </si>
  <si>
    <t>1,739753;4,29590172;23,400;24,10000</t>
  </si>
  <si>
    <t>1,924692;4,36987716;23,400;24,10000</t>
  </si>
  <si>
    <t>1,1109630;4,44385259;23,400;24,10000</t>
  </si>
  <si>
    <t>火舞灵凰</t>
    <phoneticPr fontId="8" type="noConversion"/>
  </si>
  <si>
    <t>近战小怪</t>
    <phoneticPr fontId="8" type="noConversion"/>
  </si>
  <si>
    <t>远程小怪</t>
    <phoneticPr fontId="8" type="noConversion"/>
  </si>
  <si>
    <t>(map#sep=,;),int,long</t>
    <phoneticPr fontId="8" type="noConversion"/>
  </si>
  <si>
    <t>WorldBoss</t>
  </si>
  <si>
    <t>1,2400;4,210000000000;24,10000</t>
  </si>
  <si>
    <t>1,4600;4,210000000000;24,10000</t>
  </si>
  <si>
    <t>1,5900;4,210000000000;24,10000</t>
  </si>
  <si>
    <t>1,9100;4,210000000000;24,10000</t>
  </si>
  <si>
    <t>1,13500;4,210000000000;24,10000</t>
  </si>
  <si>
    <t>1,39100;4,210000000000;24,10000</t>
  </si>
  <si>
    <t>1,69500;4,210000000000;24,10000</t>
  </si>
  <si>
    <t>1,97800;4,210000000000;24,10000</t>
  </si>
  <si>
    <t>1,131600;4,210000000000;24,10000</t>
  </si>
  <si>
    <t>1,158900;4,210000000000;24,10000</t>
  </si>
  <si>
    <t>1,205700;4,210000000000;24,10000</t>
  </si>
  <si>
    <t>1,235100;4,210000000000;24,10000</t>
  </si>
  <si>
    <t>1,311900;4,210000000000;24,10000</t>
  </si>
  <si>
    <t>1,346300;4,210000000000;24,10000</t>
  </si>
  <si>
    <t>1,381500;4,210000000000;24,10000</t>
  </si>
  <si>
    <t>1,413100;4,210000000000;24,10000</t>
  </si>
  <si>
    <t>1,460500;4,210000000000;24,10000</t>
  </si>
  <si>
    <t>1,543600;4,210000000000;24,10000</t>
  </si>
  <si>
    <t>1,573900;4,210000000000;24,10000</t>
  </si>
  <si>
    <t>1,658500;4,210000000000;24,10000</t>
  </si>
  <si>
    <t>1,688900;4,210000000000;24,10000</t>
  </si>
  <si>
    <t>1,769900;4,210000000000;24,10000</t>
  </si>
  <si>
    <t>1,866600;4,210000000000;24,10000</t>
  </si>
  <si>
    <t>1,950400;4,210000000000;24,10000</t>
  </si>
  <si>
    <t>1,1034600;4,210000000000;24,10000</t>
  </si>
  <si>
    <t>1,1068900;4,210000000000;24,10000</t>
  </si>
  <si>
    <t>1,1153500;4,210000000000;24,10000</t>
  </si>
  <si>
    <t>1,1289600;4,210000000000;24,10000</t>
  </si>
  <si>
    <t>1,1421100;4,210000000000;24,10000</t>
  </si>
  <si>
    <t>1,1517200;4,210000000000;24,10000</t>
  </si>
  <si>
    <t>1,1613800;4,210000000000;24,10000</t>
  </si>
  <si>
    <t>1,1691200;4,210000000000;24,10000</t>
  </si>
  <si>
    <t>1,1827000;4,210000000000;24,10000</t>
  </si>
  <si>
    <t>1,1938500;4,210000000000;24,10000</t>
  </si>
  <si>
    <t>1,2135900;4,210000000000;24,10000</t>
  </si>
  <si>
    <t>1,2236900;4,210000000000;24,10000</t>
  </si>
  <si>
    <t>1,2353700;4,210000000000;24,10000</t>
  </si>
  <si>
    <t>碧波龙神</t>
    <phoneticPr fontId="8" type="noConversion"/>
  </si>
  <si>
    <t>1,661900;4,15566880000;24,10000</t>
  </si>
  <si>
    <t>1,778300;4,29747743200;24,10000</t>
  </si>
  <si>
    <t>1,922900;4,46512984000;24,10000</t>
  </si>
  <si>
    <t>1,1271200;4,90765679200;24,10000</t>
  </si>
  <si>
    <t>DamageLimit</t>
  </si>
  <si>
    <t>long</t>
  </si>
  <si>
    <t>伤害上限</t>
  </si>
  <si>
    <t>c</t>
    <phoneticPr fontId="8" type="noConversion"/>
  </si>
  <si>
    <t>1,4000;4,1600000</t>
  </si>
  <si>
    <t>1,8050;4,3220000</t>
  </si>
  <si>
    <t>1,12100;4,4840000</t>
  </si>
  <si>
    <t>1,17250;4,6900000</t>
  </si>
  <si>
    <t>1,22400;4,8960000</t>
  </si>
  <si>
    <t>1,32200;4,12880000</t>
  </si>
  <si>
    <t>1,36800;4,14720000</t>
  </si>
  <si>
    <t>1,46500;4,18600000</t>
  </si>
  <si>
    <t>1,53250;4,21300000</t>
  </si>
  <si>
    <t>1,60000;4,24000000</t>
  </si>
  <si>
    <t>1,69600;4,27840000</t>
  </si>
  <si>
    <t>1,91000;4,36400000</t>
  </si>
  <si>
    <t>1,104200;4,41680000</t>
  </si>
  <si>
    <t>1,116500;4,46600000</t>
  </si>
  <si>
    <t>1,126700;4,50680000</t>
  </si>
  <si>
    <t>1,141600;4,56640000</t>
  </si>
  <si>
    <t>1,168400;4,67360000</t>
  </si>
  <si>
    <t>1,180200;4,72080000</t>
  </si>
  <si>
    <t>1,211200;4,84480000</t>
  </si>
  <si>
    <t>1,223100;4,89240000</t>
  </si>
  <si>
    <t>1,700;4,1068000;24,10000</t>
  </si>
  <si>
    <t>1,1400;4,2076000;24,10000</t>
  </si>
  <si>
    <t>1,1800;4,3484800;24,10000</t>
  </si>
  <si>
    <t>1,2700;4,6338640;24,10000</t>
  </si>
  <si>
    <t>1,4000;4,14544000;24,10000</t>
  </si>
  <si>
    <t>1,8050;4,41656320;24,10000</t>
  </si>
  <si>
    <t>1,12100;4,62050560;24,10000</t>
  </si>
  <si>
    <t>1,17250;4,105034800;24,10000</t>
  </si>
  <si>
    <t>1,22400;4,136545240;24,10000</t>
  </si>
  <si>
    <t>1,32200;4,180741600;24,10000</t>
  </si>
  <si>
    <t>1,36800;4,278035200;24,10000</t>
  </si>
  <si>
    <t>1,46500;4,351172800;24,10000</t>
  </si>
  <si>
    <t>1,53250;4,453254400;24,10000</t>
  </si>
  <si>
    <t>1,60000;4,472140000;24,10000</t>
  </si>
  <si>
    <t>1,69600;4,548122500;24,10000</t>
  </si>
  <si>
    <t>1,91000;4,716377500;24,10000</t>
  </si>
  <si>
    <t>1,104200;4,820372500;24,10000</t>
  </si>
  <si>
    <t>1,116500;4,917234992;24,10000</t>
  </si>
  <si>
    <t>1,126700;4,997762500;24,10000</t>
  </si>
  <si>
    <t>1,141600;4,1189488000;24,10000</t>
  </si>
  <si>
    <t>1,168400;4,1414512000;24,10000</t>
  </si>
  <si>
    <t>1,180200;4,1513847998;24,10000</t>
  </si>
  <si>
    <t>1,211200;4,1773888000;24,10000</t>
  </si>
  <si>
    <t>1,223100;4,1873728000;24,10000</t>
  </si>
  <si>
    <t>1,249800;4,2098512000;24,10000</t>
  </si>
  <si>
    <t>1,279800;4,2497112982;24,10000</t>
  </si>
  <si>
    <t>1,309700;4,2763842978;24,10000</t>
  </si>
  <si>
    <t>1,346700;4,3094399464;24,10000</t>
  </si>
  <si>
    <t>1,373400;4,3341758672;24,10000</t>
  </si>
  <si>
    <t>1,390300;4,3836008800;24,10000</t>
  </si>
  <si>
    <t>1,437900;4,4717127298;24,10000</t>
  </si>
  <si>
    <t>1,474600;4,5581463940;24,10000</t>
  </si>
  <si>
    <t>1,515900;4,6673386720;24,10000</t>
  </si>
  <si>
    <t>1,555800;4,8497026720;24,10000</t>
  </si>
  <si>
    <t>1,598700;4,10561420800;24,10000</t>
  </si>
  <si>
    <t>1,1069400;4,64225543000;24,10000</t>
  </si>
  <si>
    <t>附加的buff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</si>
</sst>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3" borderId="1" xfId="2" applyBorder="1" applyAlignme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>
      <alignment vertic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3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2"/>
  <sheetViews>
    <sheetView tabSelected="1" topLeftCell="A187" workbookViewId="0">
      <selection activeCell="L205" sqref="L205"/>
    </sheetView>
  </sheetViews>
  <sheetFormatPr defaultColWidth="9" defaultRowHeight="13.9" x14ac:dyDescent="0.4"/>
  <cols>
    <col min="2" max="2" width="9" style="2"/>
    <col min="3" max="4" width="13.46484375" customWidth="1"/>
    <col min="5" max="5" width="13.46484375" style="3" customWidth="1"/>
    <col min="6" max="6" width="25.86328125" style="3" customWidth="1"/>
    <col min="7" max="7" width="13.46484375" style="3" customWidth="1"/>
    <col min="8" max="8" width="13" style="3" customWidth="1"/>
    <col min="9" max="9" width="21.59765625" style="4" customWidth="1"/>
    <col min="10" max="10" width="17" style="4" customWidth="1"/>
    <col min="11" max="11" width="11.6640625" style="4" customWidth="1"/>
  </cols>
  <sheetData>
    <row r="1" spans="1:15" x14ac:dyDescent="0.4">
      <c r="A1" s="5" t="s">
        <v>0</v>
      </c>
      <c r="B1" s="2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t="s">
        <v>8</v>
      </c>
      <c r="J1" s="11" t="s">
        <v>9</v>
      </c>
      <c r="K1" s="4" t="s">
        <v>583</v>
      </c>
      <c r="L1" s="6" t="s">
        <v>10</v>
      </c>
      <c r="M1" s="6" t="s">
        <v>366</v>
      </c>
    </row>
    <row r="2" spans="1:15" x14ac:dyDescent="0.4">
      <c r="A2" s="5" t="s">
        <v>0</v>
      </c>
      <c r="I2"/>
    </row>
    <row r="3" spans="1:15" x14ac:dyDescent="0.4">
      <c r="A3" s="8" t="s">
        <v>11</v>
      </c>
      <c r="B3" s="2" t="s">
        <v>12</v>
      </c>
      <c r="C3" t="s">
        <v>13</v>
      </c>
      <c r="D3" s="7" t="s">
        <v>373</v>
      </c>
      <c r="E3" s="3" t="s">
        <v>12</v>
      </c>
      <c r="F3" s="7" t="s">
        <v>368</v>
      </c>
      <c r="G3" s="3" t="s">
        <v>12</v>
      </c>
      <c r="H3" s="3" t="s">
        <v>12</v>
      </c>
      <c r="I3" s="6" t="s">
        <v>539</v>
      </c>
      <c r="J3" s="3" t="s">
        <v>12</v>
      </c>
      <c r="K3" s="4" t="s">
        <v>584</v>
      </c>
      <c r="L3" s="6" t="s">
        <v>369</v>
      </c>
      <c r="M3" t="s">
        <v>13</v>
      </c>
    </row>
    <row r="4" spans="1:15" x14ac:dyDescent="0.4">
      <c r="A4" s="8" t="s">
        <v>14</v>
      </c>
      <c r="I4" s="6"/>
      <c r="J4" s="11" t="s">
        <v>371</v>
      </c>
      <c r="K4" s="11" t="s">
        <v>586</v>
      </c>
      <c r="L4" s="11" t="s">
        <v>586</v>
      </c>
      <c r="M4" s="11" t="s">
        <v>586</v>
      </c>
    </row>
    <row r="5" spans="1:15" x14ac:dyDescent="0.4">
      <c r="A5" s="5" t="s">
        <v>15</v>
      </c>
      <c r="B5" s="2" t="s">
        <v>1</v>
      </c>
      <c r="C5" t="s">
        <v>16</v>
      </c>
      <c r="D5" s="6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t="s">
        <v>22</v>
      </c>
      <c r="J5" s="11" t="s">
        <v>23</v>
      </c>
      <c r="K5" s="4" t="s">
        <v>585</v>
      </c>
      <c r="L5" s="12" t="s">
        <v>643</v>
      </c>
      <c r="M5" s="6" t="s">
        <v>367</v>
      </c>
    </row>
    <row r="6" spans="1:15" s="1" customFormat="1" x14ac:dyDescent="0.4">
      <c r="B6" s="2">
        <v>101</v>
      </c>
      <c r="C6" s="9" t="s">
        <v>24</v>
      </c>
      <c r="D6" s="9" t="s">
        <v>25</v>
      </c>
      <c r="E6" s="9">
        <v>1</v>
      </c>
      <c r="F6" s="9"/>
      <c r="G6" s="9"/>
      <c r="H6" s="10">
        <v>20001</v>
      </c>
      <c r="I6" s="6" t="s">
        <v>370</v>
      </c>
      <c r="J6" s="13"/>
      <c r="K6" s="13"/>
      <c r="N6" s="12"/>
      <c r="O6" s="12"/>
    </row>
    <row r="7" spans="1:15" s="1" customFormat="1" x14ac:dyDescent="0.4">
      <c r="B7" s="2">
        <v>201</v>
      </c>
      <c r="C7" s="9" t="s">
        <v>26</v>
      </c>
      <c r="D7" s="9" t="s">
        <v>25</v>
      </c>
      <c r="E7" s="9">
        <v>1</v>
      </c>
      <c r="F7" s="9"/>
      <c r="G7" s="9"/>
      <c r="H7" s="10">
        <v>21001</v>
      </c>
      <c r="I7" s="6" t="s">
        <v>370</v>
      </c>
      <c r="J7" s="13"/>
      <c r="K7" s="13"/>
      <c r="N7" s="12"/>
      <c r="O7" s="12"/>
    </row>
    <row r="8" spans="1:15" s="1" customFormat="1" x14ac:dyDescent="0.4">
      <c r="B8" s="2">
        <v>1001</v>
      </c>
      <c r="C8" s="12" t="s">
        <v>578</v>
      </c>
      <c r="D8" s="10" t="s">
        <v>28</v>
      </c>
      <c r="E8" s="10">
        <v>2</v>
      </c>
      <c r="F8" s="10">
        <v>2001</v>
      </c>
      <c r="G8" s="10"/>
      <c r="H8" s="10">
        <v>31004</v>
      </c>
      <c r="I8" s="7" t="s">
        <v>607</v>
      </c>
      <c r="J8" s="13">
        <v>90</v>
      </c>
      <c r="K8" s="13">
        <v>53400</v>
      </c>
      <c r="L8"/>
      <c r="N8" s="12"/>
      <c r="O8" s="12"/>
    </row>
    <row r="9" spans="1:15" s="1" customFormat="1" x14ac:dyDescent="0.4">
      <c r="B9" s="2">
        <v>1002</v>
      </c>
      <c r="C9" s="1" t="s">
        <v>29</v>
      </c>
      <c r="D9" s="10" t="s">
        <v>28</v>
      </c>
      <c r="E9" s="10">
        <v>2</v>
      </c>
      <c r="F9" s="10">
        <v>2001</v>
      </c>
      <c r="G9" s="10"/>
      <c r="H9" s="10">
        <v>31001</v>
      </c>
      <c r="I9" s="15" t="s">
        <v>608</v>
      </c>
      <c r="J9" s="13">
        <v>90</v>
      </c>
      <c r="K9" s="13">
        <v>103800</v>
      </c>
      <c r="L9"/>
      <c r="N9" s="12"/>
      <c r="O9" s="12"/>
    </row>
    <row r="10" spans="1:15" s="1" customFormat="1" x14ac:dyDescent="0.4">
      <c r="B10" s="2">
        <v>1003</v>
      </c>
      <c r="C10" s="1" t="s">
        <v>29</v>
      </c>
      <c r="D10" s="10" t="s">
        <v>28</v>
      </c>
      <c r="E10" s="10">
        <v>2</v>
      </c>
      <c r="F10" s="10">
        <v>2001</v>
      </c>
      <c r="G10" s="10"/>
      <c r="H10" s="10">
        <v>31001</v>
      </c>
      <c r="I10" s="15" t="s">
        <v>609</v>
      </c>
      <c r="J10" s="13">
        <v>90</v>
      </c>
      <c r="K10" s="13">
        <v>174240</v>
      </c>
      <c r="L10"/>
      <c r="N10" s="12"/>
      <c r="O10" s="12"/>
    </row>
    <row r="11" spans="1:15" s="1" customFormat="1" x14ac:dyDescent="0.4">
      <c r="B11" s="2">
        <v>1004</v>
      </c>
      <c r="C11" s="1" t="s">
        <v>29</v>
      </c>
      <c r="D11" s="10" t="s">
        <v>28</v>
      </c>
      <c r="E11" s="10">
        <v>2</v>
      </c>
      <c r="F11" s="10">
        <v>2001</v>
      </c>
      <c r="G11" s="10"/>
      <c r="H11" s="10">
        <v>31001</v>
      </c>
      <c r="I11" s="15" t="s">
        <v>610</v>
      </c>
      <c r="J11" s="13">
        <v>90</v>
      </c>
      <c r="K11" s="13">
        <v>316932</v>
      </c>
      <c r="L11"/>
      <c r="N11" s="12"/>
      <c r="O11" s="12"/>
    </row>
    <row r="12" spans="1:15" s="1" customFormat="1" x14ac:dyDescent="0.4">
      <c r="B12" s="2">
        <v>1005</v>
      </c>
      <c r="C12" s="1" t="s">
        <v>29</v>
      </c>
      <c r="D12" s="10" t="s">
        <v>28</v>
      </c>
      <c r="E12" s="10">
        <v>2</v>
      </c>
      <c r="F12" s="10">
        <v>2001</v>
      </c>
      <c r="G12" s="10"/>
      <c r="H12" s="10">
        <v>31001</v>
      </c>
      <c r="I12" s="15" t="s">
        <v>611</v>
      </c>
      <c r="J12" s="13">
        <v>90</v>
      </c>
      <c r="K12" s="13">
        <v>727200</v>
      </c>
      <c r="L12"/>
      <c r="N12" s="12"/>
      <c r="O12" s="12"/>
    </row>
    <row r="13" spans="1:15" s="1" customFormat="1" x14ac:dyDescent="0.4">
      <c r="B13" s="2">
        <v>1006</v>
      </c>
      <c r="C13" s="1" t="s">
        <v>29</v>
      </c>
      <c r="D13" s="10" t="s">
        <v>28</v>
      </c>
      <c r="E13" s="10">
        <v>2</v>
      </c>
      <c r="F13" s="10">
        <v>2001</v>
      </c>
      <c r="G13" s="10"/>
      <c r="H13" s="10">
        <v>31001</v>
      </c>
      <c r="I13" s="15" t="s">
        <v>612</v>
      </c>
      <c r="J13" s="13">
        <v>90</v>
      </c>
      <c r="K13" s="13">
        <v>2082816</v>
      </c>
      <c r="L13"/>
      <c r="N13" s="12"/>
      <c r="O13" s="12"/>
    </row>
    <row r="14" spans="1:15" s="1" customFormat="1" x14ac:dyDescent="0.4">
      <c r="B14" s="2">
        <v>1007</v>
      </c>
      <c r="C14" s="1" t="s">
        <v>29</v>
      </c>
      <c r="D14" s="10" t="s">
        <v>28</v>
      </c>
      <c r="E14" s="10">
        <v>2</v>
      </c>
      <c r="F14" s="10">
        <v>2001</v>
      </c>
      <c r="G14" s="10"/>
      <c r="H14" s="10">
        <v>31001</v>
      </c>
      <c r="I14" s="15" t="s">
        <v>613</v>
      </c>
      <c r="J14" s="13">
        <v>90</v>
      </c>
      <c r="K14" s="13">
        <v>3102528</v>
      </c>
      <c r="L14"/>
      <c r="N14" s="12"/>
      <c r="O14" s="12"/>
    </row>
    <row r="15" spans="1:15" s="1" customFormat="1" x14ac:dyDescent="0.4">
      <c r="B15" s="2">
        <v>1008</v>
      </c>
      <c r="C15" s="1" t="s">
        <v>29</v>
      </c>
      <c r="D15" s="10" t="s">
        <v>28</v>
      </c>
      <c r="E15" s="10">
        <v>2</v>
      </c>
      <c r="F15" s="10">
        <v>2001</v>
      </c>
      <c r="G15" s="10"/>
      <c r="H15" s="10">
        <v>31001</v>
      </c>
      <c r="I15" s="15" t="s">
        <v>614</v>
      </c>
      <c r="J15" s="13">
        <v>90</v>
      </c>
      <c r="K15" s="13">
        <v>5251740</v>
      </c>
      <c r="L15"/>
      <c r="N15" s="12"/>
      <c r="O15" s="12"/>
    </row>
    <row r="16" spans="1:15" s="1" customFormat="1" x14ac:dyDescent="0.4">
      <c r="B16" s="2">
        <v>1009</v>
      </c>
      <c r="C16" s="1" t="s">
        <v>29</v>
      </c>
      <c r="D16" s="10" t="s">
        <v>28</v>
      </c>
      <c r="E16" s="10">
        <v>2</v>
      </c>
      <c r="F16" s="10">
        <v>2001</v>
      </c>
      <c r="G16" s="10"/>
      <c r="H16" s="10">
        <v>31001</v>
      </c>
      <c r="I16" s="15" t="s">
        <v>615</v>
      </c>
      <c r="J16" s="13">
        <v>90</v>
      </c>
      <c r="K16" s="13">
        <v>6827262</v>
      </c>
      <c r="L16"/>
      <c r="N16" s="12"/>
      <c r="O16" s="12"/>
    </row>
    <row r="17" spans="2:16" s="1" customFormat="1" x14ac:dyDescent="0.4">
      <c r="B17" s="2">
        <v>1010</v>
      </c>
      <c r="C17" s="1" t="s">
        <v>29</v>
      </c>
      <c r="D17" s="10" t="s">
        <v>28</v>
      </c>
      <c r="E17" s="10">
        <v>2</v>
      </c>
      <c r="F17" s="10">
        <v>2001</v>
      </c>
      <c r="G17" s="10"/>
      <c r="H17" s="10">
        <v>31001</v>
      </c>
      <c r="I17" s="15" t="s">
        <v>616</v>
      </c>
      <c r="J17" s="13">
        <v>90</v>
      </c>
      <c r="K17" s="13">
        <v>9037080</v>
      </c>
      <c r="L17"/>
      <c r="N17" s="12"/>
      <c r="O17" s="12"/>
    </row>
    <row r="18" spans="2:16" s="1" customFormat="1" x14ac:dyDescent="0.4">
      <c r="B18" s="2">
        <v>1011</v>
      </c>
      <c r="C18" s="12" t="s">
        <v>29</v>
      </c>
      <c r="D18" s="10" t="s">
        <v>28</v>
      </c>
      <c r="E18" s="10">
        <v>2</v>
      </c>
      <c r="F18" s="10">
        <v>2001</v>
      </c>
      <c r="G18" s="10"/>
      <c r="H18" s="10">
        <v>31001</v>
      </c>
      <c r="I18" s="15" t="s">
        <v>617</v>
      </c>
      <c r="J18" s="13">
        <v>90</v>
      </c>
      <c r="K18" s="13">
        <v>27803520</v>
      </c>
      <c r="L18"/>
      <c r="N18" s="12"/>
      <c r="O18" s="12"/>
    </row>
    <row r="19" spans="2:16" s="1" customFormat="1" x14ac:dyDescent="0.4">
      <c r="B19" s="2">
        <v>1012</v>
      </c>
      <c r="C19" s="1" t="s">
        <v>29</v>
      </c>
      <c r="D19" s="10" t="s">
        <v>28</v>
      </c>
      <c r="E19" s="10">
        <v>2</v>
      </c>
      <c r="F19" s="10">
        <v>2001</v>
      </c>
      <c r="G19" s="10"/>
      <c r="H19" s="10">
        <v>31001</v>
      </c>
      <c r="I19" s="15" t="s">
        <v>618</v>
      </c>
      <c r="J19" s="13">
        <v>90</v>
      </c>
      <c r="K19" s="13">
        <v>35117280</v>
      </c>
      <c r="L19"/>
      <c r="N19" s="12"/>
      <c r="O19" s="12"/>
    </row>
    <row r="20" spans="2:16" x14ac:dyDescent="0.4">
      <c r="B20" s="2">
        <v>1013</v>
      </c>
      <c r="C20" s="12" t="s">
        <v>29</v>
      </c>
      <c r="D20" s="10" t="s">
        <v>28</v>
      </c>
      <c r="E20" s="10">
        <v>2</v>
      </c>
      <c r="F20" s="10">
        <v>2001</v>
      </c>
      <c r="G20" s="10"/>
      <c r="H20" s="10">
        <v>31001</v>
      </c>
      <c r="I20" s="15" t="s">
        <v>619</v>
      </c>
      <c r="J20" s="13">
        <v>90</v>
      </c>
      <c r="K20" s="13">
        <v>45325440</v>
      </c>
      <c r="N20" s="12"/>
      <c r="O20" s="12"/>
      <c r="P20" s="1"/>
    </row>
    <row r="21" spans="2:16" x14ac:dyDescent="0.4">
      <c r="B21" s="2">
        <v>1014</v>
      </c>
      <c r="C21" s="1" t="s">
        <v>29</v>
      </c>
      <c r="D21" s="10" t="s">
        <v>28</v>
      </c>
      <c r="E21" s="10">
        <v>2</v>
      </c>
      <c r="F21" s="10">
        <v>2001</v>
      </c>
      <c r="G21" s="10"/>
      <c r="H21" s="10">
        <v>31001</v>
      </c>
      <c r="I21" s="15" t="s">
        <v>620</v>
      </c>
      <c r="J21" s="13">
        <v>90</v>
      </c>
      <c r="K21" s="13">
        <v>47214000</v>
      </c>
      <c r="N21" s="12"/>
      <c r="O21" s="12"/>
      <c r="P21" s="1"/>
    </row>
    <row r="22" spans="2:16" x14ac:dyDescent="0.4">
      <c r="B22" s="2">
        <v>1015</v>
      </c>
      <c r="C22" s="12" t="s">
        <v>29</v>
      </c>
      <c r="D22" s="10" t="s">
        <v>28</v>
      </c>
      <c r="E22" s="10">
        <v>2</v>
      </c>
      <c r="F22" s="10">
        <v>2001</v>
      </c>
      <c r="G22" s="10"/>
      <c r="H22" s="10">
        <v>31001</v>
      </c>
      <c r="I22" s="15" t="s">
        <v>621</v>
      </c>
      <c r="J22" s="13">
        <v>90</v>
      </c>
      <c r="K22" s="13">
        <v>54812250</v>
      </c>
      <c r="N22" s="12"/>
      <c r="O22" s="12"/>
      <c r="P22" s="1"/>
    </row>
    <row r="23" spans="2:16" x14ac:dyDescent="0.4">
      <c r="B23" s="2">
        <v>1016</v>
      </c>
      <c r="C23" s="1" t="s">
        <v>29</v>
      </c>
      <c r="D23" s="10" t="s">
        <v>28</v>
      </c>
      <c r="E23" s="10">
        <v>2</v>
      </c>
      <c r="F23" s="10">
        <v>2001</v>
      </c>
      <c r="G23" s="10"/>
      <c r="H23" s="10">
        <v>31001</v>
      </c>
      <c r="I23" s="15" t="s">
        <v>622</v>
      </c>
      <c r="J23" s="13">
        <v>90</v>
      </c>
      <c r="K23" s="13">
        <v>71637750</v>
      </c>
      <c r="N23" s="12"/>
      <c r="O23" s="12"/>
      <c r="P23" s="1"/>
    </row>
    <row r="24" spans="2:16" x14ac:dyDescent="0.4">
      <c r="B24" s="2">
        <v>1017</v>
      </c>
      <c r="C24" s="12" t="s">
        <v>29</v>
      </c>
      <c r="D24" s="10" t="s">
        <v>28</v>
      </c>
      <c r="E24" s="10">
        <v>2</v>
      </c>
      <c r="F24" s="10">
        <v>2001</v>
      </c>
      <c r="G24" s="10"/>
      <c r="H24" s="10">
        <v>31001</v>
      </c>
      <c r="I24" s="15" t="s">
        <v>623</v>
      </c>
      <c r="J24" s="13">
        <v>90</v>
      </c>
      <c r="K24" s="13">
        <v>82037250</v>
      </c>
      <c r="N24" s="12"/>
      <c r="O24" s="12"/>
      <c r="P24" s="1"/>
    </row>
    <row r="25" spans="2:16" x14ac:dyDescent="0.4">
      <c r="B25" s="2">
        <v>1018</v>
      </c>
      <c r="C25" s="1" t="s">
        <v>29</v>
      </c>
      <c r="D25" s="10" t="s">
        <v>28</v>
      </c>
      <c r="E25" s="10">
        <v>2</v>
      </c>
      <c r="F25" s="10">
        <v>2001</v>
      </c>
      <c r="G25" s="10"/>
      <c r="H25" s="10">
        <v>31001</v>
      </c>
      <c r="I25" s="15" t="s">
        <v>624</v>
      </c>
      <c r="J25" s="13">
        <v>90</v>
      </c>
      <c r="K25" s="13">
        <v>91723499</v>
      </c>
      <c r="N25" s="12"/>
      <c r="O25" s="12"/>
      <c r="P25" s="1"/>
    </row>
    <row r="26" spans="2:16" x14ac:dyDescent="0.4">
      <c r="B26" s="2">
        <v>1019</v>
      </c>
      <c r="C26" s="12" t="s">
        <v>29</v>
      </c>
      <c r="D26" s="10" t="s">
        <v>28</v>
      </c>
      <c r="E26" s="10">
        <v>2</v>
      </c>
      <c r="F26" s="10">
        <v>2001</v>
      </c>
      <c r="G26" s="10"/>
      <c r="H26" s="10">
        <v>31001</v>
      </c>
      <c r="I26" s="15" t="s">
        <v>625</v>
      </c>
      <c r="J26" s="13">
        <v>90</v>
      </c>
      <c r="K26" s="13">
        <v>99776250</v>
      </c>
      <c r="N26" s="12"/>
      <c r="O26" s="12"/>
      <c r="P26" s="1"/>
    </row>
    <row r="27" spans="2:16" x14ac:dyDescent="0.4">
      <c r="B27" s="2">
        <v>1020</v>
      </c>
      <c r="C27" s="1" t="s">
        <v>29</v>
      </c>
      <c r="D27" s="10" t="s">
        <v>28</v>
      </c>
      <c r="E27" s="10">
        <v>2</v>
      </c>
      <c r="F27" s="10">
        <v>2001</v>
      </c>
      <c r="G27" s="10"/>
      <c r="H27" s="10">
        <v>31001</v>
      </c>
      <c r="I27" s="15" t="s">
        <v>626</v>
      </c>
      <c r="J27" s="13">
        <v>90</v>
      </c>
      <c r="K27" s="13">
        <v>118948800</v>
      </c>
      <c r="N27" s="12"/>
      <c r="O27" s="12"/>
      <c r="P27" s="1"/>
    </row>
    <row r="28" spans="2:16" x14ac:dyDescent="0.4">
      <c r="B28" s="2">
        <v>1021</v>
      </c>
      <c r="C28" s="12" t="s">
        <v>29</v>
      </c>
      <c r="D28" s="10" t="s">
        <v>28</v>
      </c>
      <c r="E28" s="10">
        <v>2</v>
      </c>
      <c r="F28" s="10">
        <v>2001</v>
      </c>
      <c r="G28" s="10"/>
      <c r="H28" s="10">
        <v>31001</v>
      </c>
      <c r="I28" s="15" t="s">
        <v>627</v>
      </c>
      <c r="J28" s="13">
        <v>90</v>
      </c>
      <c r="K28" s="13"/>
      <c r="L28" s="1">
        <v>40001</v>
      </c>
      <c r="N28" s="12"/>
      <c r="O28" s="12"/>
      <c r="P28" s="1"/>
    </row>
    <row r="29" spans="2:16" x14ac:dyDescent="0.4">
      <c r="B29" s="2">
        <v>1022</v>
      </c>
      <c r="C29" s="1" t="s">
        <v>29</v>
      </c>
      <c r="D29" s="10" t="s">
        <v>28</v>
      </c>
      <c r="E29" s="10">
        <v>2</v>
      </c>
      <c r="F29" s="10">
        <v>2001</v>
      </c>
      <c r="G29" s="10"/>
      <c r="H29" s="10">
        <v>31001</v>
      </c>
      <c r="I29" s="15" t="s">
        <v>628</v>
      </c>
      <c r="J29" s="13">
        <v>90</v>
      </c>
      <c r="K29" s="13"/>
      <c r="L29" s="1">
        <v>40002</v>
      </c>
      <c r="N29" s="12"/>
      <c r="O29" s="12"/>
      <c r="P29" s="1"/>
    </row>
    <row r="30" spans="2:16" x14ac:dyDescent="0.4">
      <c r="B30" s="2">
        <v>1023</v>
      </c>
      <c r="C30" s="12" t="s">
        <v>29</v>
      </c>
      <c r="D30" s="10" t="s">
        <v>28</v>
      </c>
      <c r="E30" s="10">
        <v>2</v>
      </c>
      <c r="F30" s="10">
        <v>2001</v>
      </c>
      <c r="G30" s="10"/>
      <c r="H30" s="10">
        <v>31001</v>
      </c>
      <c r="I30" s="16" t="s">
        <v>629</v>
      </c>
      <c r="J30" s="13">
        <v>90</v>
      </c>
      <c r="K30" s="13"/>
      <c r="L30" s="1">
        <v>40003</v>
      </c>
    </row>
    <row r="31" spans="2:16" x14ac:dyDescent="0.4">
      <c r="B31" s="2">
        <v>1024</v>
      </c>
      <c r="C31" s="1" t="s">
        <v>29</v>
      </c>
      <c r="D31" s="10" t="s">
        <v>28</v>
      </c>
      <c r="E31" s="10">
        <v>2</v>
      </c>
      <c r="F31" s="10">
        <v>2001</v>
      </c>
      <c r="G31" s="10"/>
      <c r="H31" s="10">
        <v>31001</v>
      </c>
      <c r="I31" s="16" t="s">
        <v>630</v>
      </c>
      <c r="J31" s="13">
        <v>90</v>
      </c>
      <c r="K31" s="13"/>
      <c r="L31" s="1">
        <v>40004</v>
      </c>
    </row>
    <row r="32" spans="2:16" x14ac:dyDescent="0.4">
      <c r="B32" s="2">
        <v>1025</v>
      </c>
      <c r="C32" s="12" t="s">
        <v>29</v>
      </c>
      <c r="D32" s="10" t="s">
        <v>28</v>
      </c>
      <c r="E32" s="10">
        <v>2</v>
      </c>
      <c r="F32" s="10">
        <v>2001</v>
      </c>
      <c r="G32" s="10"/>
      <c r="H32" s="10">
        <v>31001</v>
      </c>
      <c r="I32" s="16" t="s">
        <v>631</v>
      </c>
      <c r="J32" s="13">
        <v>90</v>
      </c>
      <c r="K32" s="13"/>
      <c r="L32" s="1">
        <v>40005</v>
      </c>
    </row>
    <row r="33" spans="2:15" x14ac:dyDescent="0.4">
      <c r="B33" s="2">
        <v>1026</v>
      </c>
      <c r="C33" s="1" t="s">
        <v>29</v>
      </c>
      <c r="D33" s="10" t="s">
        <v>28</v>
      </c>
      <c r="E33" s="10">
        <v>2</v>
      </c>
      <c r="F33" s="10">
        <v>2001</v>
      </c>
      <c r="G33" s="10"/>
      <c r="H33" s="10">
        <v>31001</v>
      </c>
      <c r="I33" s="16" t="s">
        <v>632</v>
      </c>
      <c r="J33" s="13">
        <v>90</v>
      </c>
      <c r="K33" s="13"/>
      <c r="L33" s="1">
        <v>40006</v>
      </c>
    </row>
    <row r="34" spans="2:15" x14ac:dyDescent="0.4">
      <c r="B34" s="2">
        <v>1027</v>
      </c>
      <c r="C34" s="12" t="s">
        <v>29</v>
      </c>
      <c r="D34" s="10" t="s">
        <v>28</v>
      </c>
      <c r="E34" s="10">
        <v>2</v>
      </c>
      <c r="F34" s="10">
        <v>2001</v>
      </c>
      <c r="G34" s="10"/>
      <c r="H34" s="10">
        <v>31001</v>
      </c>
      <c r="I34" s="16" t="s">
        <v>633</v>
      </c>
      <c r="J34" s="13">
        <v>90</v>
      </c>
      <c r="K34" s="13"/>
      <c r="L34" s="1">
        <v>40007</v>
      </c>
    </row>
    <row r="35" spans="2:15" x14ac:dyDescent="0.4">
      <c r="B35" s="2">
        <v>1028</v>
      </c>
      <c r="C35" s="1" t="s">
        <v>29</v>
      </c>
      <c r="D35" s="10" t="s">
        <v>28</v>
      </c>
      <c r="E35" s="10">
        <v>2</v>
      </c>
      <c r="F35" s="10">
        <v>2001</v>
      </c>
      <c r="G35" s="10"/>
      <c r="H35" s="10">
        <v>31001</v>
      </c>
      <c r="I35" s="16" t="s">
        <v>634</v>
      </c>
      <c r="J35" s="13">
        <v>90</v>
      </c>
      <c r="K35" s="13"/>
      <c r="L35" s="1">
        <v>40008</v>
      </c>
    </row>
    <row r="36" spans="2:15" x14ac:dyDescent="0.4">
      <c r="B36" s="2">
        <v>1029</v>
      </c>
      <c r="C36" s="12" t="s">
        <v>29</v>
      </c>
      <c r="D36" s="10" t="s">
        <v>28</v>
      </c>
      <c r="E36" s="10">
        <v>2</v>
      </c>
      <c r="F36" s="10">
        <v>2001</v>
      </c>
      <c r="G36" s="10"/>
      <c r="H36" s="10">
        <v>31001</v>
      </c>
      <c r="I36" s="16" t="s">
        <v>635</v>
      </c>
      <c r="J36" s="13">
        <v>90</v>
      </c>
      <c r="K36" s="13"/>
      <c r="L36" s="1">
        <v>40009</v>
      </c>
    </row>
    <row r="37" spans="2:15" x14ac:dyDescent="0.4">
      <c r="B37" s="2">
        <v>1030</v>
      </c>
      <c r="C37" s="1" t="s">
        <v>29</v>
      </c>
      <c r="D37" s="10" t="s">
        <v>28</v>
      </c>
      <c r="E37" s="10">
        <v>2</v>
      </c>
      <c r="F37" s="10">
        <v>2001</v>
      </c>
      <c r="G37" s="10"/>
      <c r="H37" s="10">
        <v>31001</v>
      </c>
      <c r="I37" s="16" t="s">
        <v>636</v>
      </c>
      <c r="J37" s="13">
        <v>90</v>
      </c>
      <c r="K37" s="13"/>
      <c r="L37" s="1">
        <v>40010</v>
      </c>
    </row>
    <row r="38" spans="2:15" x14ac:dyDescent="0.4">
      <c r="B38" s="2">
        <v>1031</v>
      </c>
      <c r="C38" s="12" t="s">
        <v>29</v>
      </c>
      <c r="D38" s="10" t="s">
        <v>28</v>
      </c>
      <c r="E38" s="10">
        <v>2</v>
      </c>
      <c r="F38" s="10">
        <v>2001</v>
      </c>
      <c r="G38" s="10"/>
      <c r="H38" s="10">
        <v>31001</v>
      </c>
      <c r="I38" s="16" t="s">
        <v>637</v>
      </c>
      <c r="J38" s="13">
        <v>90</v>
      </c>
      <c r="K38" s="13"/>
      <c r="L38" s="1">
        <v>40011</v>
      </c>
    </row>
    <row r="39" spans="2:15" x14ac:dyDescent="0.4">
      <c r="B39" s="2">
        <v>1032</v>
      </c>
      <c r="C39" s="1" t="s">
        <v>29</v>
      </c>
      <c r="D39" s="10" t="s">
        <v>28</v>
      </c>
      <c r="E39" s="10">
        <v>2</v>
      </c>
      <c r="F39" s="10">
        <v>2001</v>
      </c>
      <c r="G39" s="10"/>
      <c r="H39" s="10">
        <v>31001</v>
      </c>
      <c r="I39" s="16" t="s">
        <v>638</v>
      </c>
      <c r="J39" s="13">
        <v>90</v>
      </c>
      <c r="K39" s="13"/>
      <c r="L39" s="1">
        <v>40012</v>
      </c>
    </row>
    <row r="40" spans="2:15" x14ac:dyDescent="0.4">
      <c r="B40" s="2">
        <v>1033</v>
      </c>
      <c r="C40" s="12" t="s">
        <v>29</v>
      </c>
      <c r="D40" s="10" t="s">
        <v>28</v>
      </c>
      <c r="E40" s="10">
        <v>2</v>
      </c>
      <c r="F40" s="10">
        <v>2001</v>
      </c>
      <c r="G40" s="10"/>
      <c r="H40" s="10">
        <v>31001</v>
      </c>
      <c r="I40" s="16" t="s">
        <v>639</v>
      </c>
      <c r="J40" s="13">
        <v>90</v>
      </c>
      <c r="K40" s="13"/>
      <c r="L40" s="1">
        <v>40013</v>
      </c>
    </row>
    <row r="41" spans="2:15" x14ac:dyDescent="0.4">
      <c r="B41" s="2">
        <v>1034</v>
      </c>
      <c r="C41" s="1" t="s">
        <v>29</v>
      </c>
      <c r="D41" s="10" t="s">
        <v>28</v>
      </c>
      <c r="E41" s="10">
        <v>2</v>
      </c>
      <c r="F41" s="10">
        <v>2001</v>
      </c>
      <c r="G41" s="10"/>
      <c r="H41" s="10">
        <v>31001</v>
      </c>
      <c r="I41" s="16" t="s">
        <v>640</v>
      </c>
      <c r="J41" s="13">
        <v>90</v>
      </c>
      <c r="K41" s="13"/>
      <c r="L41" s="1">
        <v>40014</v>
      </c>
    </row>
    <row r="42" spans="2:15" x14ac:dyDescent="0.4">
      <c r="B42" s="2">
        <v>1035</v>
      </c>
      <c r="C42" s="12" t="s">
        <v>29</v>
      </c>
      <c r="D42" s="10" t="s">
        <v>28</v>
      </c>
      <c r="E42" s="10">
        <v>2</v>
      </c>
      <c r="F42" s="10">
        <v>2001</v>
      </c>
      <c r="G42" s="10"/>
      <c r="H42" s="10">
        <v>31001</v>
      </c>
      <c r="I42" s="16" t="s">
        <v>641</v>
      </c>
      <c r="J42" s="13">
        <v>90</v>
      </c>
      <c r="K42" s="13"/>
      <c r="L42" s="1">
        <v>40015</v>
      </c>
    </row>
    <row r="43" spans="2:15" x14ac:dyDescent="0.4">
      <c r="B43" s="2">
        <v>1036</v>
      </c>
      <c r="C43" s="1" t="s">
        <v>29</v>
      </c>
      <c r="D43" s="10" t="s">
        <v>28</v>
      </c>
      <c r="E43" s="10">
        <v>2</v>
      </c>
      <c r="F43" s="10">
        <v>2001</v>
      </c>
      <c r="G43" s="10"/>
      <c r="H43" s="10">
        <v>31001</v>
      </c>
      <c r="I43" s="16" t="s">
        <v>579</v>
      </c>
      <c r="J43" s="13">
        <v>90</v>
      </c>
      <c r="K43" s="13"/>
      <c r="L43" s="1">
        <v>40016</v>
      </c>
    </row>
    <row r="44" spans="2:15" x14ac:dyDescent="0.4">
      <c r="B44" s="2">
        <v>1037</v>
      </c>
      <c r="C44" s="12" t="s">
        <v>29</v>
      </c>
      <c r="D44" s="10" t="s">
        <v>28</v>
      </c>
      <c r="E44" s="10">
        <v>2</v>
      </c>
      <c r="F44" s="10">
        <v>2001</v>
      </c>
      <c r="G44" s="10"/>
      <c r="H44" s="10">
        <v>31001</v>
      </c>
      <c r="I44" s="16" t="s">
        <v>580</v>
      </c>
      <c r="J44" s="13">
        <v>90</v>
      </c>
      <c r="K44" s="13"/>
      <c r="L44" s="1">
        <v>40017</v>
      </c>
    </row>
    <row r="45" spans="2:15" x14ac:dyDescent="0.4">
      <c r="B45" s="2">
        <v>1038</v>
      </c>
      <c r="C45" s="1" t="s">
        <v>29</v>
      </c>
      <c r="D45" s="10" t="s">
        <v>28</v>
      </c>
      <c r="E45" s="10">
        <v>2</v>
      </c>
      <c r="F45" s="10">
        <v>2001</v>
      </c>
      <c r="G45" s="10"/>
      <c r="H45" s="10">
        <v>31001</v>
      </c>
      <c r="I45" s="16" t="s">
        <v>581</v>
      </c>
      <c r="J45" s="13">
        <v>90</v>
      </c>
      <c r="K45" s="13"/>
      <c r="L45" s="1">
        <v>40018</v>
      </c>
    </row>
    <row r="46" spans="2:15" x14ac:dyDescent="0.4">
      <c r="B46" s="2">
        <v>1039</v>
      </c>
      <c r="C46" s="12" t="s">
        <v>29</v>
      </c>
      <c r="D46" s="10" t="s">
        <v>28</v>
      </c>
      <c r="E46" s="10">
        <v>2</v>
      </c>
      <c r="F46" s="10">
        <v>2001</v>
      </c>
      <c r="G46" s="10"/>
      <c r="H46" s="10">
        <v>31001</v>
      </c>
      <c r="I46" s="16" t="s">
        <v>642</v>
      </c>
      <c r="J46" s="13">
        <v>90</v>
      </c>
      <c r="K46" s="13"/>
      <c r="L46" s="1">
        <v>40019</v>
      </c>
    </row>
    <row r="47" spans="2:15" x14ac:dyDescent="0.4">
      <c r="B47" s="2">
        <v>1040</v>
      </c>
      <c r="C47" s="1" t="s">
        <v>29</v>
      </c>
      <c r="D47" s="10" t="s">
        <v>28</v>
      </c>
      <c r="E47" s="10">
        <v>2</v>
      </c>
      <c r="F47" s="10">
        <v>2001</v>
      </c>
      <c r="G47" s="10"/>
      <c r="H47" s="10">
        <v>31001</v>
      </c>
      <c r="I47" s="16" t="s">
        <v>582</v>
      </c>
      <c r="J47" s="13">
        <v>90</v>
      </c>
      <c r="K47" s="13"/>
      <c r="L47" s="1">
        <v>40020</v>
      </c>
    </row>
    <row r="48" spans="2:15" s="1" customFormat="1" x14ac:dyDescent="0.4">
      <c r="B48" s="2">
        <f>B8+100</f>
        <v>1101</v>
      </c>
      <c r="C48" s="1" t="s">
        <v>30</v>
      </c>
      <c r="D48" s="10" t="s">
        <v>28</v>
      </c>
      <c r="E48" s="10">
        <v>2</v>
      </c>
      <c r="F48" s="10">
        <v>2001</v>
      </c>
      <c r="G48" s="10"/>
      <c r="H48" s="10">
        <v>31002</v>
      </c>
      <c r="I48" s="7" t="s">
        <v>607</v>
      </c>
      <c r="J48" s="13">
        <v>90</v>
      </c>
      <c r="K48" s="13">
        <v>53400</v>
      </c>
      <c r="L48"/>
      <c r="N48" s="12"/>
      <c r="O48" s="12"/>
    </row>
    <row r="49" spans="2:16" s="1" customFormat="1" x14ac:dyDescent="0.4">
      <c r="B49" s="2">
        <f t="shared" ref="B49:B112" si="0">B9+100</f>
        <v>1102</v>
      </c>
      <c r="C49" s="1" t="s">
        <v>30</v>
      </c>
      <c r="D49" s="10" t="s">
        <v>28</v>
      </c>
      <c r="E49" s="10">
        <v>2</v>
      </c>
      <c r="F49" s="10">
        <v>2001</v>
      </c>
      <c r="G49" s="10"/>
      <c r="H49" s="10">
        <v>31002</v>
      </c>
      <c r="I49" s="15" t="s">
        <v>608</v>
      </c>
      <c r="J49" s="13">
        <v>90</v>
      </c>
      <c r="K49" s="13">
        <v>103800</v>
      </c>
      <c r="L49"/>
      <c r="N49" s="12"/>
      <c r="O49" s="12"/>
    </row>
    <row r="50" spans="2:16" s="1" customFormat="1" x14ac:dyDescent="0.4">
      <c r="B50" s="2">
        <f t="shared" si="0"/>
        <v>1103</v>
      </c>
      <c r="C50" s="1" t="s">
        <v>30</v>
      </c>
      <c r="D50" s="10" t="s">
        <v>28</v>
      </c>
      <c r="E50" s="10">
        <v>2</v>
      </c>
      <c r="F50" s="10">
        <v>2001</v>
      </c>
      <c r="G50" s="10"/>
      <c r="H50" s="10">
        <v>31002</v>
      </c>
      <c r="I50" s="15" t="s">
        <v>609</v>
      </c>
      <c r="J50" s="13">
        <v>90</v>
      </c>
      <c r="K50" s="13">
        <v>174240</v>
      </c>
      <c r="L50"/>
      <c r="N50" s="12"/>
      <c r="O50" s="12"/>
    </row>
    <row r="51" spans="2:16" s="1" customFormat="1" x14ac:dyDescent="0.4">
      <c r="B51" s="2">
        <f t="shared" si="0"/>
        <v>1104</v>
      </c>
      <c r="C51" s="1" t="s">
        <v>30</v>
      </c>
      <c r="D51" s="10" t="s">
        <v>28</v>
      </c>
      <c r="E51" s="10">
        <v>2</v>
      </c>
      <c r="F51" s="10">
        <v>2001</v>
      </c>
      <c r="G51" s="10"/>
      <c r="H51" s="10">
        <v>31002</v>
      </c>
      <c r="I51" s="15" t="s">
        <v>610</v>
      </c>
      <c r="J51" s="13">
        <v>90</v>
      </c>
      <c r="K51" s="13">
        <v>316932</v>
      </c>
      <c r="L51"/>
      <c r="N51" s="12"/>
      <c r="O51" s="12"/>
    </row>
    <row r="52" spans="2:16" s="1" customFormat="1" x14ac:dyDescent="0.4">
      <c r="B52" s="2">
        <f t="shared" si="0"/>
        <v>1105</v>
      </c>
      <c r="C52" s="1" t="s">
        <v>30</v>
      </c>
      <c r="D52" s="10" t="s">
        <v>28</v>
      </c>
      <c r="E52" s="10">
        <v>2</v>
      </c>
      <c r="F52" s="10">
        <v>2001</v>
      </c>
      <c r="G52" s="10"/>
      <c r="H52" s="10">
        <v>31002</v>
      </c>
      <c r="I52" s="15" t="s">
        <v>611</v>
      </c>
      <c r="J52" s="13">
        <v>90</v>
      </c>
      <c r="K52" s="13">
        <v>727200</v>
      </c>
      <c r="L52"/>
      <c r="N52" s="12"/>
      <c r="O52" s="12"/>
    </row>
    <row r="53" spans="2:16" s="1" customFormat="1" x14ac:dyDescent="0.4">
      <c r="B53" s="2">
        <f t="shared" si="0"/>
        <v>1106</v>
      </c>
      <c r="C53" s="1" t="s">
        <v>30</v>
      </c>
      <c r="D53" s="10" t="s">
        <v>28</v>
      </c>
      <c r="E53" s="10">
        <v>2</v>
      </c>
      <c r="F53" s="10">
        <v>2001</v>
      </c>
      <c r="G53" s="10"/>
      <c r="H53" s="10">
        <v>31002</v>
      </c>
      <c r="I53" s="15" t="s">
        <v>612</v>
      </c>
      <c r="J53" s="13">
        <v>90</v>
      </c>
      <c r="K53" s="13">
        <v>2082816</v>
      </c>
      <c r="L53"/>
      <c r="N53" s="12"/>
      <c r="O53" s="12"/>
    </row>
    <row r="54" spans="2:16" s="1" customFormat="1" x14ac:dyDescent="0.4">
      <c r="B54" s="2">
        <f t="shared" si="0"/>
        <v>1107</v>
      </c>
      <c r="C54" s="1" t="s">
        <v>30</v>
      </c>
      <c r="D54" s="10" t="s">
        <v>28</v>
      </c>
      <c r="E54" s="10">
        <v>2</v>
      </c>
      <c r="F54" s="10">
        <v>2001</v>
      </c>
      <c r="G54" s="10"/>
      <c r="H54" s="10">
        <v>31002</v>
      </c>
      <c r="I54" s="15" t="s">
        <v>613</v>
      </c>
      <c r="J54" s="13">
        <v>90</v>
      </c>
      <c r="K54" s="13">
        <v>3102528</v>
      </c>
      <c r="L54"/>
      <c r="N54" s="12"/>
      <c r="O54" s="12"/>
    </row>
    <row r="55" spans="2:16" s="1" customFormat="1" x14ac:dyDescent="0.4">
      <c r="B55" s="2">
        <f t="shared" si="0"/>
        <v>1108</v>
      </c>
      <c r="C55" s="1" t="s">
        <v>30</v>
      </c>
      <c r="D55" s="10" t="s">
        <v>28</v>
      </c>
      <c r="E55" s="10">
        <v>2</v>
      </c>
      <c r="F55" s="10">
        <v>2001</v>
      </c>
      <c r="G55" s="10"/>
      <c r="H55" s="10">
        <v>31002</v>
      </c>
      <c r="I55" s="15" t="s">
        <v>614</v>
      </c>
      <c r="J55" s="13">
        <v>90</v>
      </c>
      <c r="K55" s="13">
        <v>5251740</v>
      </c>
      <c r="L55"/>
      <c r="N55" s="12"/>
      <c r="O55" s="12"/>
    </row>
    <row r="56" spans="2:16" s="1" customFormat="1" x14ac:dyDescent="0.4">
      <c r="B56" s="2">
        <f t="shared" si="0"/>
        <v>1109</v>
      </c>
      <c r="C56" s="1" t="s">
        <v>30</v>
      </c>
      <c r="D56" s="10" t="s">
        <v>28</v>
      </c>
      <c r="E56" s="10">
        <v>2</v>
      </c>
      <c r="F56" s="10">
        <v>2001</v>
      </c>
      <c r="G56" s="10"/>
      <c r="H56" s="10">
        <v>31002</v>
      </c>
      <c r="I56" s="15" t="s">
        <v>615</v>
      </c>
      <c r="J56" s="13">
        <v>90</v>
      </c>
      <c r="K56" s="13">
        <v>6827262</v>
      </c>
      <c r="L56"/>
      <c r="N56" s="12"/>
      <c r="O56" s="12"/>
    </row>
    <row r="57" spans="2:16" s="1" customFormat="1" x14ac:dyDescent="0.4">
      <c r="B57" s="2">
        <f t="shared" si="0"/>
        <v>1110</v>
      </c>
      <c r="C57" s="1" t="s">
        <v>30</v>
      </c>
      <c r="D57" s="10" t="s">
        <v>28</v>
      </c>
      <c r="E57" s="10">
        <v>2</v>
      </c>
      <c r="F57" s="10">
        <v>2001</v>
      </c>
      <c r="G57" s="10"/>
      <c r="H57" s="10">
        <v>31002</v>
      </c>
      <c r="I57" s="15" t="s">
        <v>616</v>
      </c>
      <c r="J57" s="13">
        <v>90</v>
      </c>
      <c r="K57" s="13">
        <v>9037080</v>
      </c>
      <c r="L57"/>
      <c r="N57" s="12"/>
      <c r="O57" s="12"/>
    </row>
    <row r="58" spans="2:16" s="1" customFormat="1" x14ac:dyDescent="0.4">
      <c r="B58" s="2">
        <f t="shared" si="0"/>
        <v>1111</v>
      </c>
      <c r="C58" s="12" t="s">
        <v>30</v>
      </c>
      <c r="D58" s="10" t="s">
        <v>28</v>
      </c>
      <c r="E58" s="10">
        <v>2</v>
      </c>
      <c r="F58" s="10">
        <v>2001</v>
      </c>
      <c r="G58" s="10"/>
      <c r="H58" s="10">
        <v>31002</v>
      </c>
      <c r="I58" s="15" t="s">
        <v>617</v>
      </c>
      <c r="J58" s="13">
        <v>90</v>
      </c>
      <c r="K58" s="13">
        <v>27803520</v>
      </c>
      <c r="L58"/>
      <c r="N58" s="12"/>
      <c r="O58" s="12"/>
    </row>
    <row r="59" spans="2:16" s="1" customFormat="1" x14ac:dyDescent="0.4">
      <c r="B59" s="2">
        <f t="shared" si="0"/>
        <v>1112</v>
      </c>
      <c r="C59" s="1" t="s">
        <v>30</v>
      </c>
      <c r="D59" s="10" t="s">
        <v>28</v>
      </c>
      <c r="E59" s="10">
        <v>2</v>
      </c>
      <c r="F59" s="10">
        <v>2001</v>
      </c>
      <c r="G59" s="10"/>
      <c r="H59" s="10">
        <v>31002</v>
      </c>
      <c r="I59" s="15" t="s">
        <v>618</v>
      </c>
      <c r="J59" s="13">
        <v>90</v>
      </c>
      <c r="K59" s="13">
        <v>35117280</v>
      </c>
      <c r="L59"/>
      <c r="N59" s="12"/>
      <c r="O59" s="12"/>
    </row>
    <row r="60" spans="2:16" x14ac:dyDescent="0.4">
      <c r="B60" s="2">
        <f t="shared" si="0"/>
        <v>1113</v>
      </c>
      <c r="C60" s="12" t="s">
        <v>30</v>
      </c>
      <c r="D60" s="10" t="s">
        <v>28</v>
      </c>
      <c r="E60" s="10">
        <v>2</v>
      </c>
      <c r="F60" s="10">
        <v>2001</v>
      </c>
      <c r="G60" s="10"/>
      <c r="H60" s="10">
        <v>31002</v>
      </c>
      <c r="I60" s="15" t="s">
        <v>619</v>
      </c>
      <c r="J60" s="13">
        <v>90</v>
      </c>
      <c r="K60" s="13">
        <v>45325440</v>
      </c>
      <c r="N60" s="12"/>
      <c r="O60" s="12"/>
      <c r="P60" s="1"/>
    </row>
    <row r="61" spans="2:16" x14ac:dyDescent="0.4">
      <c r="B61" s="2">
        <f t="shared" si="0"/>
        <v>1114</v>
      </c>
      <c r="C61" s="1" t="s">
        <v>30</v>
      </c>
      <c r="D61" s="10" t="s">
        <v>28</v>
      </c>
      <c r="E61" s="10">
        <v>2</v>
      </c>
      <c r="F61" s="10">
        <v>2001</v>
      </c>
      <c r="G61" s="10"/>
      <c r="H61" s="10">
        <v>31002</v>
      </c>
      <c r="I61" s="15" t="s">
        <v>620</v>
      </c>
      <c r="J61" s="13">
        <v>90</v>
      </c>
      <c r="K61" s="13">
        <v>47214000</v>
      </c>
      <c r="N61" s="12"/>
      <c r="O61" s="12"/>
      <c r="P61" s="1"/>
    </row>
    <row r="62" spans="2:16" x14ac:dyDescent="0.4">
      <c r="B62" s="2">
        <f t="shared" si="0"/>
        <v>1115</v>
      </c>
      <c r="C62" s="12" t="s">
        <v>30</v>
      </c>
      <c r="D62" s="10" t="s">
        <v>28</v>
      </c>
      <c r="E62" s="10">
        <v>2</v>
      </c>
      <c r="F62" s="10">
        <v>2001</v>
      </c>
      <c r="G62" s="10"/>
      <c r="H62" s="10">
        <v>31002</v>
      </c>
      <c r="I62" s="15" t="s">
        <v>621</v>
      </c>
      <c r="J62" s="13">
        <v>90</v>
      </c>
      <c r="K62" s="13">
        <v>54812250</v>
      </c>
      <c r="N62" s="12"/>
      <c r="O62" s="12"/>
      <c r="P62" s="1"/>
    </row>
    <row r="63" spans="2:16" x14ac:dyDescent="0.4">
      <c r="B63" s="2">
        <f t="shared" si="0"/>
        <v>1116</v>
      </c>
      <c r="C63" s="1" t="s">
        <v>30</v>
      </c>
      <c r="D63" s="10" t="s">
        <v>28</v>
      </c>
      <c r="E63" s="10">
        <v>2</v>
      </c>
      <c r="F63" s="10">
        <v>2001</v>
      </c>
      <c r="G63" s="10"/>
      <c r="H63" s="10">
        <v>31002</v>
      </c>
      <c r="I63" s="15" t="s">
        <v>622</v>
      </c>
      <c r="J63" s="13">
        <v>90</v>
      </c>
      <c r="K63" s="13">
        <v>71637750</v>
      </c>
      <c r="N63" s="12"/>
      <c r="O63" s="12"/>
      <c r="P63" s="1"/>
    </row>
    <row r="64" spans="2:16" x14ac:dyDescent="0.4">
      <c r="B64" s="2">
        <f t="shared" si="0"/>
        <v>1117</v>
      </c>
      <c r="C64" s="12" t="s">
        <v>30</v>
      </c>
      <c r="D64" s="10" t="s">
        <v>28</v>
      </c>
      <c r="E64" s="10">
        <v>2</v>
      </c>
      <c r="F64" s="10">
        <v>2001</v>
      </c>
      <c r="G64" s="10"/>
      <c r="H64" s="10">
        <v>31002</v>
      </c>
      <c r="I64" s="15" t="s">
        <v>623</v>
      </c>
      <c r="J64" s="13">
        <v>90</v>
      </c>
      <c r="K64" s="13">
        <v>82037250</v>
      </c>
      <c r="N64" s="12"/>
      <c r="O64" s="12"/>
      <c r="P64" s="1"/>
    </row>
    <row r="65" spans="2:16" x14ac:dyDescent="0.4">
      <c r="B65" s="2">
        <f t="shared" si="0"/>
        <v>1118</v>
      </c>
      <c r="C65" s="1" t="s">
        <v>30</v>
      </c>
      <c r="D65" s="10" t="s">
        <v>28</v>
      </c>
      <c r="E65" s="10">
        <v>2</v>
      </c>
      <c r="F65" s="10">
        <v>2001</v>
      </c>
      <c r="G65" s="10"/>
      <c r="H65" s="10">
        <v>31002</v>
      </c>
      <c r="I65" s="15" t="s">
        <v>624</v>
      </c>
      <c r="J65" s="13">
        <v>90</v>
      </c>
      <c r="K65" s="13">
        <v>91723499</v>
      </c>
      <c r="N65" s="12"/>
      <c r="O65" s="12"/>
      <c r="P65" s="1"/>
    </row>
    <row r="66" spans="2:16" x14ac:dyDescent="0.4">
      <c r="B66" s="2">
        <f t="shared" si="0"/>
        <v>1119</v>
      </c>
      <c r="C66" s="12" t="s">
        <v>30</v>
      </c>
      <c r="D66" s="10" t="s">
        <v>28</v>
      </c>
      <c r="E66" s="10">
        <v>2</v>
      </c>
      <c r="F66" s="10">
        <v>2001</v>
      </c>
      <c r="G66" s="10"/>
      <c r="H66" s="10">
        <v>31002</v>
      </c>
      <c r="I66" s="15" t="s">
        <v>625</v>
      </c>
      <c r="J66" s="13">
        <v>90</v>
      </c>
      <c r="K66" s="13">
        <v>99776250</v>
      </c>
      <c r="N66" s="12"/>
      <c r="O66" s="12"/>
      <c r="P66" s="1"/>
    </row>
    <row r="67" spans="2:16" x14ac:dyDescent="0.4">
      <c r="B67" s="2">
        <f t="shared" si="0"/>
        <v>1120</v>
      </c>
      <c r="C67" s="1" t="s">
        <v>30</v>
      </c>
      <c r="D67" s="10" t="s">
        <v>28</v>
      </c>
      <c r="E67" s="10">
        <v>2</v>
      </c>
      <c r="F67" s="10">
        <v>2001</v>
      </c>
      <c r="G67" s="10"/>
      <c r="H67" s="10">
        <v>31002</v>
      </c>
      <c r="I67" s="15" t="s">
        <v>626</v>
      </c>
      <c r="J67" s="13">
        <v>90</v>
      </c>
      <c r="K67" s="13">
        <v>118948800</v>
      </c>
      <c r="N67" s="12"/>
      <c r="O67" s="12"/>
      <c r="P67" s="1"/>
    </row>
    <row r="68" spans="2:16" x14ac:dyDescent="0.4">
      <c r="B68" s="2">
        <f t="shared" si="0"/>
        <v>1121</v>
      </c>
      <c r="C68" s="12" t="s">
        <v>30</v>
      </c>
      <c r="D68" s="10" t="s">
        <v>28</v>
      </c>
      <c r="E68" s="10">
        <v>2</v>
      </c>
      <c r="F68" s="10">
        <v>2001</v>
      </c>
      <c r="G68" s="10"/>
      <c r="H68" s="10">
        <v>31002</v>
      </c>
      <c r="I68" s="15" t="s">
        <v>627</v>
      </c>
      <c r="J68" s="13">
        <v>90</v>
      </c>
      <c r="K68" s="13"/>
      <c r="L68" s="1">
        <v>40001</v>
      </c>
      <c r="N68" s="12"/>
      <c r="O68" s="12"/>
      <c r="P68" s="1"/>
    </row>
    <row r="69" spans="2:16" x14ac:dyDescent="0.4">
      <c r="B69" s="2">
        <f t="shared" si="0"/>
        <v>1122</v>
      </c>
      <c r="C69" s="1" t="s">
        <v>30</v>
      </c>
      <c r="D69" s="10" t="s">
        <v>28</v>
      </c>
      <c r="E69" s="10">
        <v>2</v>
      </c>
      <c r="F69" s="10">
        <v>2001</v>
      </c>
      <c r="G69" s="10"/>
      <c r="H69" s="10">
        <v>31002</v>
      </c>
      <c r="I69" s="15" t="s">
        <v>628</v>
      </c>
      <c r="J69" s="13">
        <v>90</v>
      </c>
      <c r="K69" s="13"/>
      <c r="L69" s="1">
        <v>40002</v>
      </c>
      <c r="N69" s="12"/>
      <c r="O69" s="12"/>
      <c r="P69" s="1"/>
    </row>
    <row r="70" spans="2:16" x14ac:dyDescent="0.4">
      <c r="B70" s="2">
        <f t="shared" si="0"/>
        <v>1123</v>
      </c>
      <c r="C70" s="12" t="s">
        <v>30</v>
      </c>
      <c r="D70" s="10" t="s">
        <v>28</v>
      </c>
      <c r="E70" s="10">
        <v>2</v>
      </c>
      <c r="F70" s="10">
        <v>2001</v>
      </c>
      <c r="G70" s="10"/>
      <c r="H70" s="10">
        <v>31002</v>
      </c>
      <c r="I70" s="16" t="s">
        <v>629</v>
      </c>
      <c r="J70" s="13">
        <v>90</v>
      </c>
      <c r="K70" s="13"/>
      <c r="L70" s="1">
        <v>40003</v>
      </c>
    </row>
    <row r="71" spans="2:16" x14ac:dyDescent="0.4">
      <c r="B71" s="2">
        <f t="shared" si="0"/>
        <v>1124</v>
      </c>
      <c r="C71" s="1" t="s">
        <v>30</v>
      </c>
      <c r="D71" s="10" t="s">
        <v>28</v>
      </c>
      <c r="E71" s="10">
        <v>2</v>
      </c>
      <c r="F71" s="10">
        <v>2001</v>
      </c>
      <c r="G71" s="10"/>
      <c r="H71" s="10">
        <v>31002</v>
      </c>
      <c r="I71" s="16" t="s">
        <v>630</v>
      </c>
      <c r="J71" s="13">
        <v>90</v>
      </c>
      <c r="K71" s="13"/>
      <c r="L71" s="1">
        <v>40004</v>
      </c>
    </row>
    <row r="72" spans="2:16" x14ac:dyDescent="0.4">
      <c r="B72" s="2">
        <f t="shared" si="0"/>
        <v>1125</v>
      </c>
      <c r="C72" s="12" t="s">
        <v>30</v>
      </c>
      <c r="D72" s="10" t="s">
        <v>28</v>
      </c>
      <c r="E72" s="10">
        <v>2</v>
      </c>
      <c r="F72" s="10">
        <v>2001</v>
      </c>
      <c r="G72" s="10"/>
      <c r="H72" s="10">
        <v>31002</v>
      </c>
      <c r="I72" s="16" t="s">
        <v>631</v>
      </c>
      <c r="J72" s="13">
        <v>90</v>
      </c>
      <c r="K72" s="13"/>
      <c r="L72" s="1">
        <v>40005</v>
      </c>
    </row>
    <row r="73" spans="2:16" x14ac:dyDescent="0.4">
      <c r="B73" s="2">
        <f t="shared" si="0"/>
        <v>1126</v>
      </c>
      <c r="C73" s="1" t="s">
        <v>30</v>
      </c>
      <c r="D73" s="10" t="s">
        <v>28</v>
      </c>
      <c r="E73" s="10">
        <v>2</v>
      </c>
      <c r="F73" s="10">
        <v>2001</v>
      </c>
      <c r="G73" s="10"/>
      <c r="H73" s="10">
        <v>31002</v>
      </c>
      <c r="I73" s="16" t="s">
        <v>632</v>
      </c>
      <c r="J73" s="13">
        <v>90</v>
      </c>
      <c r="K73" s="13"/>
      <c r="L73" s="1">
        <v>40006</v>
      </c>
    </row>
    <row r="74" spans="2:16" x14ac:dyDescent="0.4">
      <c r="B74" s="2">
        <f t="shared" si="0"/>
        <v>1127</v>
      </c>
      <c r="C74" s="12" t="s">
        <v>30</v>
      </c>
      <c r="D74" s="10" t="s">
        <v>28</v>
      </c>
      <c r="E74" s="10">
        <v>2</v>
      </c>
      <c r="F74" s="10">
        <v>2001</v>
      </c>
      <c r="G74" s="10"/>
      <c r="H74" s="10">
        <v>31002</v>
      </c>
      <c r="I74" s="16" t="s">
        <v>633</v>
      </c>
      <c r="J74" s="13">
        <v>90</v>
      </c>
      <c r="K74" s="13"/>
      <c r="L74" s="1">
        <v>40007</v>
      </c>
    </row>
    <row r="75" spans="2:16" x14ac:dyDescent="0.4">
      <c r="B75" s="2">
        <f t="shared" si="0"/>
        <v>1128</v>
      </c>
      <c r="C75" s="1" t="s">
        <v>30</v>
      </c>
      <c r="D75" s="10" t="s">
        <v>28</v>
      </c>
      <c r="E75" s="10">
        <v>2</v>
      </c>
      <c r="F75" s="10">
        <v>2001</v>
      </c>
      <c r="G75" s="10"/>
      <c r="H75" s="10">
        <v>31002</v>
      </c>
      <c r="I75" s="16" t="s">
        <v>634</v>
      </c>
      <c r="J75" s="13">
        <v>90</v>
      </c>
      <c r="K75" s="13"/>
      <c r="L75" s="1">
        <v>40008</v>
      </c>
    </row>
    <row r="76" spans="2:16" x14ac:dyDescent="0.4">
      <c r="B76" s="2">
        <f t="shared" si="0"/>
        <v>1129</v>
      </c>
      <c r="C76" s="12" t="s">
        <v>30</v>
      </c>
      <c r="D76" s="10" t="s">
        <v>28</v>
      </c>
      <c r="E76" s="10">
        <v>2</v>
      </c>
      <c r="F76" s="10">
        <v>2001</v>
      </c>
      <c r="G76" s="10"/>
      <c r="H76" s="10">
        <v>31002</v>
      </c>
      <c r="I76" s="16" t="s">
        <v>635</v>
      </c>
      <c r="J76" s="13">
        <v>90</v>
      </c>
      <c r="K76" s="13"/>
      <c r="L76" s="1">
        <v>40009</v>
      </c>
    </row>
    <row r="77" spans="2:16" x14ac:dyDescent="0.4">
      <c r="B77" s="2">
        <f t="shared" si="0"/>
        <v>1130</v>
      </c>
      <c r="C77" s="1" t="s">
        <v>30</v>
      </c>
      <c r="D77" s="10" t="s">
        <v>28</v>
      </c>
      <c r="E77" s="10">
        <v>2</v>
      </c>
      <c r="F77" s="10">
        <v>2001</v>
      </c>
      <c r="G77" s="10"/>
      <c r="H77" s="10">
        <v>31002</v>
      </c>
      <c r="I77" s="16" t="s">
        <v>636</v>
      </c>
      <c r="J77" s="13">
        <v>90</v>
      </c>
      <c r="K77" s="13"/>
      <c r="L77" s="1">
        <v>40010</v>
      </c>
    </row>
    <row r="78" spans="2:16" x14ac:dyDescent="0.4">
      <c r="B78" s="2">
        <f t="shared" si="0"/>
        <v>1131</v>
      </c>
      <c r="C78" s="12" t="s">
        <v>30</v>
      </c>
      <c r="D78" s="10" t="s">
        <v>28</v>
      </c>
      <c r="E78" s="10">
        <v>2</v>
      </c>
      <c r="F78" s="10">
        <v>2001</v>
      </c>
      <c r="G78" s="10"/>
      <c r="H78" s="10">
        <v>31002</v>
      </c>
      <c r="I78" s="16" t="s">
        <v>637</v>
      </c>
      <c r="J78" s="13">
        <v>90</v>
      </c>
      <c r="K78" s="13"/>
      <c r="L78" s="1">
        <v>40011</v>
      </c>
    </row>
    <row r="79" spans="2:16" x14ac:dyDescent="0.4">
      <c r="B79" s="2">
        <f t="shared" si="0"/>
        <v>1132</v>
      </c>
      <c r="C79" s="1" t="s">
        <v>30</v>
      </c>
      <c r="D79" s="10" t="s">
        <v>28</v>
      </c>
      <c r="E79" s="10">
        <v>2</v>
      </c>
      <c r="F79" s="10">
        <v>2001</v>
      </c>
      <c r="G79" s="10"/>
      <c r="H79" s="10">
        <v>31002</v>
      </c>
      <c r="I79" s="16" t="s">
        <v>638</v>
      </c>
      <c r="J79" s="13">
        <v>90</v>
      </c>
      <c r="K79" s="13"/>
      <c r="L79" s="1">
        <v>40012</v>
      </c>
    </row>
    <row r="80" spans="2:16" x14ac:dyDescent="0.4">
      <c r="B80" s="2">
        <f t="shared" si="0"/>
        <v>1133</v>
      </c>
      <c r="C80" s="12" t="s">
        <v>30</v>
      </c>
      <c r="D80" s="10" t="s">
        <v>28</v>
      </c>
      <c r="E80" s="10">
        <v>2</v>
      </c>
      <c r="F80" s="10">
        <v>2001</v>
      </c>
      <c r="G80" s="10"/>
      <c r="H80" s="10">
        <v>31002</v>
      </c>
      <c r="I80" s="16" t="s">
        <v>639</v>
      </c>
      <c r="J80" s="13">
        <v>90</v>
      </c>
      <c r="K80" s="13"/>
      <c r="L80" s="1">
        <v>40013</v>
      </c>
    </row>
    <row r="81" spans="2:15" x14ac:dyDescent="0.4">
      <c r="B81" s="2">
        <f t="shared" si="0"/>
        <v>1134</v>
      </c>
      <c r="C81" s="1" t="s">
        <v>30</v>
      </c>
      <c r="D81" s="10" t="s">
        <v>28</v>
      </c>
      <c r="E81" s="10">
        <v>2</v>
      </c>
      <c r="F81" s="10">
        <v>2001</v>
      </c>
      <c r="G81" s="10"/>
      <c r="H81" s="10">
        <v>31002</v>
      </c>
      <c r="I81" s="16" t="s">
        <v>640</v>
      </c>
      <c r="J81" s="13">
        <v>90</v>
      </c>
      <c r="K81" s="13"/>
      <c r="L81" s="1">
        <v>40014</v>
      </c>
    </row>
    <row r="82" spans="2:15" x14ac:dyDescent="0.4">
      <c r="B82" s="2">
        <f t="shared" si="0"/>
        <v>1135</v>
      </c>
      <c r="C82" s="12" t="s">
        <v>30</v>
      </c>
      <c r="D82" s="10" t="s">
        <v>28</v>
      </c>
      <c r="E82" s="10">
        <v>2</v>
      </c>
      <c r="F82" s="10">
        <v>2001</v>
      </c>
      <c r="G82" s="10"/>
      <c r="H82" s="10">
        <v>31002</v>
      </c>
      <c r="I82" s="16" t="s">
        <v>641</v>
      </c>
      <c r="J82" s="13">
        <v>90</v>
      </c>
      <c r="K82" s="13"/>
      <c r="L82" s="1">
        <v>40015</v>
      </c>
    </row>
    <row r="83" spans="2:15" x14ac:dyDescent="0.4">
      <c r="B83" s="2">
        <f t="shared" si="0"/>
        <v>1136</v>
      </c>
      <c r="C83" s="1" t="s">
        <v>30</v>
      </c>
      <c r="D83" s="10" t="s">
        <v>28</v>
      </c>
      <c r="E83" s="10">
        <v>2</v>
      </c>
      <c r="F83" s="10">
        <v>2001</v>
      </c>
      <c r="G83" s="10"/>
      <c r="H83" s="10">
        <v>31002</v>
      </c>
      <c r="I83" s="16" t="s">
        <v>579</v>
      </c>
      <c r="J83" s="13">
        <v>90</v>
      </c>
      <c r="K83" s="13"/>
      <c r="L83" s="1">
        <v>40016</v>
      </c>
    </row>
    <row r="84" spans="2:15" x14ac:dyDescent="0.4">
      <c r="B84" s="2">
        <f t="shared" si="0"/>
        <v>1137</v>
      </c>
      <c r="C84" s="12" t="s">
        <v>30</v>
      </c>
      <c r="D84" s="10" t="s">
        <v>28</v>
      </c>
      <c r="E84" s="10">
        <v>2</v>
      </c>
      <c r="F84" s="10">
        <v>2001</v>
      </c>
      <c r="G84" s="10"/>
      <c r="H84" s="10">
        <v>31002</v>
      </c>
      <c r="I84" s="16" t="s">
        <v>580</v>
      </c>
      <c r="J84" s="13">
        <v>90</v>
      </c>
      <c r="K84" s="13"/>
      <c r="L84" s="1">
        <v>40017</v>
      </c>
    </row>
    <row r="85" spans="2:15" x14ac:dyDescent="0.4">
      <c r="B85" s="2">
        <f t="shared" si="0"/>
        <v>1138</v>
      </c>
      <c r="C85" s="1" t="s">
        <v>30</v>
      </c>
      <c r="D85" s="10" t="s">
        <v>28</v>
      </c>
      <c r="E85" s="10">
        <v>2</v>
      </c>
      <c r="F85" s="10">
        <v>2001</v>
      </c>
      <c r="G85" s="10"/>
      <c r="H85" s="10">
        <v>31002</v>
      </c>
      <c r="I85" s="16" t="s">
        <v>581</v>
      </c>
      <c r="J85" s="13">
        <v>90</v>
      </c>
      <c r="K85" s="13"/>
      <c r="L85" s="1">
        <v>40018</v>
      </c>
    </row>
    <row r="86" spans="2:15" x14ac:dyDescent="0.4">
      <c r="B86" s="2">
        <f t="shared" si="0"/>
        <v>1139</v>
      </c>
      <c r="C86" s="12" t="s">
        <v>30</v>
      </c>
      <c r="D86" s="10" t="s">
        <v>28</v>
      </c>
      <c r="E86" s="10">
        <v>2</v>
      </c>
      <c r="F86" s="10">
        <v>2001</v>
      </c>
      <c r="G86" s="10"/>
      <c r="H86" s="10">
        <v>31002</v>
      </c>
      <c r="I86" s="16" t="s">
        <v>642</v>
      </c>
      <c r="J86" s="13">
        <v>90</v>
      </c>
      <c r="K86" s="13"/>
      <c r="L86" s="1">
        <v>40019</v>
      </c>
    </row>
    <row r="87" spans="2:15" x14ac:dyDescent="0.4">
      <c r="B87" s="2">
        <f t="shared" si="0"/>
        <v>1140</v>
      </c>
      <c r="C87" s="1" t="s">
        <v>30</v>
      </c>
      <c r="D87" s="10" t="s">
        <v>28</v>
      </c>
      <c r="E87" s="10">
        <v>2</v>
      </c>
      <c r="F87" s="10">
        <v>2001</v>
      </c>
      <c r="G87" s="10"/>
      <c r="H87" s="10">
        <v>31002</v>
      </c>
      <c r="I87" s="16" t="s">
        <v>582</v>
      </c>
      <c r="J87" s="13">
        <v>90</v>
      </c>
      <c r="K87" s="13"/>
      <c r="L87" s="1">
        <v>40020</v>
      </c>
    </row>
    <row r="88" spans="2:15" s="1" customFormat="1" x14ac:dyDescent="0.4">
      <c r="B88" s="2">
        <f t="shared" si="0"/>
        <v>1201</v>
      </c>
      <c r="C88" s="1" t="s">
        <v>31</v>
      </c>
      <c r="D88" s="10" t="s">
        <v>28</v>
      </c>
      <c r="E88" s="10">
        <v>2</v>
      </c>
      <c r="F88" s="10">
        <v>2001</v>
      </c>
      <c r="G88" s="10"/>
      <c r="H88" s="10">
        <v>31003</v>
      </c>
      <c r="I88" s="7" t="s">
        <v>607</v>
      </c>
      <c r="J88" s="13">
        <v>90</v>
      </c>
      <c r="K88" s="13">
        <v>53400</v>
      </c>
      <c r="L88"/>
      <c r="N88" s="12"/>
      <c r="O88" s="12"/>
    </row>
    <row r="89" spans="2:15" s="1" customFormat="1" x14ac:dyDescent="0.4">
      <c r="B89" s="2">
        <f t="shared" si="0"/>
        <v>1202</v>
      </c>
      <c r="C89" s="1" t="s">
        <v>31</v>
      </c>
      <c r="D89" s="10" t="s">
        <v>28</v>
      </c>
      <c r="E89" s="10">
        <v>2</v>
      </c>
      <c r="F89" s="10">
        <v>2001</v>
      </c>
      <c r="G89" s="10"/>
      <c r="H89" s="10">
        <v>31003</v>
      </c>
      <c r="I89" s="15" t="s">
        <v>608</v>
      </c>
      <c r="J89" s="13">
        <v>90</v>
      </c>
      <c r="K89" s="13">
        <v>103800</v>
      </c>
      <c r="L89"/>
      <c r="N89" s="12"/>
      <c r="O89" s="12"/>
    </row>
    <row r="90" spans="2:15" s="1" customFormat="1" x14ac:dyDescent="0.4">
      <c r="B90" s="2">
        <f t="shared" si="0"/>
        <v>1203</v>
      </c>
      <c r="C90" s="1" t="s">
        <v>31</v>
      </c>
      <c r="D90" s="10" t="s">
        <v>28</v>
      </c>
      <c r="E90" s="10">
        <v>2</v>
      </c>
      <c r="F90" s="10">
        <v>2001</v>
      </c>
      <c r="G90" s="10"/>
      <c r="H90" s="10">
        <v>31003</v>
      </c>
      <c r="I90" s="15" t="s">
        <v>609</v>
      </c>
      <c r="J90" s="13">
        <v>90</v>
      </c>
      <c r="K90" s="13">
        <v>174240</v>
      </c>
      <c r="L90"/>
      <c r="N90" s="12"/>
      <c r="O90" s="12"/>
    </row>
    <row r="91" spans="2:15" s="1" customFormat="1" x14ac:dyDescent="0.4">
      <c r="B91" s="2">
        <f t="shared" si="0"/>
        <v>1204</v>
      </c>
      <c r="C91" s="1" t="s">
        <v>31</v>
      </c>
      <c r="D91" s="10" t="s">
        <v>28</v>
      </c>
      <c r="E91" s="10">
        <v>2</v>
      </c>
      <c r="F91" s="10">
        <v>2001</v>
      </c>
      <c r="G91" s="10"/>
      <c r="H91" s="10">
        <v>31003</v>
      </c>
      <c r="I91" s="15" t="s">
        <v>610</v>
      </c>
      <c r="J91" s="13">
        <v>90</v>
      </c>
      <c r="K91" s="13">
        <v>316932</v>
      </c>
      <c r="L91"/>
      <c r="N91" s="12"/>
      <c r="O91" s="12"/>
    </row>
    <row r="92" spans="2:15" s="1" customFormat="1" x14ac:dyDescent="0.4">
      <c r="B92" s="2">
        <f t="shared" si="0"/>
        <v>1205</v>
      </c>
      <c r="C92" s="1" t="s">
        <v>31</v>
      </c>
      <c r="D92" s="10" t="s">
        <v>28</v>
      </c>
      <c r="E92" s="10">
        <v>2</v>
      </c>
      <c r="F92" s="10">
        <v>2001</v>
      </c>
      <c r="G92" s="10"/>
      <c r="H92" s="10">
        <v>31003</v>
      </c>
      <c r="I92" s="15" t="s">
        <v>611</v>
      </c>
      <c r="J92" s="13">
        <v>90</v>
      </c>
      <c r="K92" s="13">
        <v>727200</v>
      </c>
      <c r="L92"/>
      <c r="N92" s="12"/>
      <c r="O92" s="12"/>
    </row>
    <row r="93" spans="2:15" s="1" customFormat="1" x14ac:dyDescent="0.4">
      <c r="B93" s="2">
        <f t="shared" si="0"/>
        <v>1206</v>
      </c>
      <c r="C93" s="1" t="s">
        <v>31</v>
      </c>
      <c r="D93" s="10" t="s">
        <v>28</v>
      </c>
      <c r="E93" s="10">
        <v>2</v>
      </c>
      <c r="F93" s="10">
        <v>2001</v>
      </c>
      <c r="G93" s="10"/>
      <c r="H93" s="10">
        <v>31003</v>
      </c>
      <c r="I93" s="15" t="s">
        <v>612</v>
      </c>
      <c r="J93" s="13">
        <v>90</v>
      </c>
      <c r="K93" s="13">
        <v>2082816</v>
      </c>
      <c r="L93"/>
      <c r="N93" s="12"/>
      <c r="O93" s="12"/>
    </row>
    <row r="94" spans="2:15" s="1" customFormat="1" x14ac:dyDescent="0.4">
      <c r="B94" s="2">
        <f t="shared" si="0"/>
        <v>1207</v>
      </c>
      <c r="C94" s="1" t="s">
        <v>31</v>
      </c>
      <c r="D94" s="10" t="s">
        <v>28</v>
      </c>
      <c r="E94" s="10">
        <v>2</v>
      </c>
      <c r="F94" s="10">
        <v>2001</v>
      </c>
      <c r="G94" s="10"/>
      <c r="H94" s="10">
        <v>31003</v>
      </c>
      <c r="I94" s="15" t="s">
        <v>613</v>
      </c>
      <c r="J94" s="13">
        <v>90</v>
      </c>
      <c r="K94" s="13">
        <v>3102528</v>
      </c>
      <c r="L94"/>
      <c r="N94" s="12"/>
      <c r="O94" s="12"/>
    </row>
    <row r="95" spans="2:15" s="1" customFormat="1" x14ac:dyDescent="0.4">
      <c r="B95" s="2">
        <f t="shared" si="0"/>
        <v>1208</v>
      </c>
      <c r="C95" s="1" t="s">
        <v>31</v>
      </c>
      <c r="D95" s="10" t="s">
        <v>28</v>
      </c>
      <c r="E95" s="10">
        <v>2</v>
      </c>
      <c r="F95" s="10">
        <v>2001</v>
      </c>
      <c r="G95" s="10"/>
      <c r="H95" s="10">
        <v>31003</v>
      </c>
      <c r="I95" s="15" t="s">
        <v>614</v>
      </c>
      <c r="J95" s="13">
        <v>90</v>
      </c>
      <c r="K95" s="13">
        <v>5251740</v>
      </c>
      <c r="L95"/>
      <c r="N95" s="12"/>
      <c r="O95" s="12"/>
    </row>
    <row r="96" spans="2:15" s="1" customFormat="1" x14ac:dyDescent="0.4">
      <c r="B96" s="2">
        <f t="shared" si="0"/>
        <v>1209</v>
      </c>
      <c r="C96" s="1" t="s">
        <v>31</v>
      </c>
      <c r="D96" s="10" t="s">
        <v>28</v>
      </c>
      <c r="E96" s="10">
        <v>2</v>
      </c>
      <c r="F96" s="10">
        <v>2001</v>
      </c>
      <c r="G96" s="10"/>
      <c r="H96" s="10">
        <v>31003</v>
      </c>
      <c r="I96" s="15" t="s">
        <v>615</v>
      </c>
      <c r="J96" s="13">
        <v>90</v>
      </c>
      <c r="K96" s="13">
        <v>6827262</v>
      </c>
      <c r="L96"/>
      <c r="N96" s="12"/>
      <c r="O96" s="12"/>
    </row>
    <row r="97" spans="2:16" s="1" customFormat="1" x14ac:dyDescent="0.4">
      <c r="B97" s="2">
        <f t="shared" si="0"/>
        <v>1210</v>
      </c>
      <c r="C97" s="1" t="s">
        <v>31</v>
      </c>
      <c r="D97" s="10" t="s">
        <v>28</v>
      </c>
      <c r="E97" s="10">
        <v>2</v>
      </c>
      <c r="F97" s="10">
        <v>2001</v>
      </c>
      <c r="G97" s="10"/>
      <c r="H97" s="10">
        <v>31003</v>
      </c>
      <c r="I97" s="15" t="s">
        <v>616</v>
      </c>
      <c r="J97" s="13">
        <v>90</v>
      </c>
      <c r="K97" s="13">
        <v>9037080</v>
      </c>
      <c r="L97"/>
      <c r="N97" s="12"/>
      <c r="O97" s="12"/>
    </row>
    <row r="98" spans="2:16" s="1" customFormat="1" x14ac:dyDescent="0.4">
      <c r="B98" s="2">
        <f t="shared" si="0"/>
        <v>1211</v>
      </c>
      <c r="C98" s="12" t="s">
        <v>31</v>
      </c>
      <c r="D98" s="10" t="s">
        <v>28</v>
      </c>
      <c r="E98" s="10">
        <v>2</v>
      </c>
      <c r="F98" s="10">
        <v>2001</v>
      </c>
      <c r="G98" s="10"/>
      <c r="H98" s="10">
        <v>31003</v>
      </c>
      <c r="I98" s="15" t="s">
        <v>617</v>
      </c>
      <c r="J98" s="13">
        <v>90</v>
      </c>
      <c r="K98" s="13">
        <v>27803520</v>
      </c>
      <c r="L98"/>
      <c r="N98" s="12"/>
      <c r="O98" s="12"/>
    </row>
    <row r="99" spans="2:16" s="1" customFormat="1" x14ac:dyDescent="0.4">
      <c r="B99" s="2">
        <f t="shared" si="0"/>
        <v>1212</v>
      </c>
      <c r="C99" s="1" t="s">
        <v>31</v>
      </c>
      <c r="D99" s="10" t="s">
        <v>28</v>
      </c>
      <c r="E99" s="10">
        <v>2</v>
      </c>
      <c r="F99" s="10">
        <v>2001</v>
      </c>
      <c r="G99" s="10"/>
      <c r="H99" s="10">
        <v>31003</v>
      </c>
      <c r="I99" s="15" t="s">
        <v>618</v>
      </c>
      <c r="J99" s="13">
        <v>90</v>
      </c>
      <c r="K99" s="13">
        <v>35117280</v>
      </c>
      <c r="L99"/>
      <c r="N99" s="12"/>
      <c r="O99" s="12"/>
    </row>
    <row r="100" spans="2:16" x14ac:dyDescent="0.4">
      <c r="B100" s="2">
        <f t="shared" si="0"/>
        <v>1213</v>
      </c>
      <c r="C100" s="12" t="s">
        <v>31</v>
      </c>
      <c r="D100" s="10" t="s">
        <v>28</v>
      </c>
      <c r="E100" s="10">
        <v>2</v>
      </c>
      <c r="F100" s="10">
        <v>2001</v>
      </c>
      <c r="G100" s="10"/>
      <c r="H100" s="10">
        <v>31003</v>
      </c>
      <c r="I100" s="15" t="s">
        <v>619</v>
      </c>
      <c r="J100" s="13">
        <v>90</v>
      </c>
      <c r="K100" s="13">
        <v>45325440</v>
      </c>
      <c r="N100" s="12"/>
      <c r="O100" s="12"/>
      <c r="P100" s="1"/>
    </row>
    <row r="101" spans="2:16" x14ac:dyDescent="0.4">
      <c r="B101" s="2">
        <f t="shared" si="0"/>
        <v>1214</v>
      </c>
      <c r="C101" s="1" t="s">
        <v>31</v>
      </c>
      <c r="D101" s="10" t="s">
        <v>28</v>
      </c>
      <c r="E101" s="10">
        <v>2</v>
      </c>
      <c r="F101" s="10">
        <v>2001</v>
      </c>
      <c r="G101" s="10"/>
      <c r="H101" s="10">
        <v>31003</v>
      </c>
      <c r="I101" s="15" t="s">
        <v>620</v>
      </c>
      <c r="J101" s="13">
        <v>90</v>
      </c>
      <c r="K101" s="13">
        <v>47214000</v>
      </c>
      <c r="N101" s="12"/>
      <c r="O101" s="12"/>
      <c r="P101" s="1"/>
    </row>
    <row r="102" spans="2:16" x14ac:dyDescent="0.4">
      <c r="B102" s="2">
        <f t="shared" si="0"/>
        <v>1215</v>
      </c>
      <c r="C102" s="12" t="s">
        <v>31</v>
      </c>
      <c r="D102" s="10" t="s">
        <v>28</v>
      </c>
      <c r="E102" s="10">
        <v>2</v>
      </c>
      <c r="F102" s="10">
        <v>2001</v>
      </c>
      <c r="G102" s="10"/>
      <c r="H102" s="10">
        <v>31003</v>
      </c>
      <c r="I102" s="15" t="s">
        <v>621</v>
      </c>
      <c r="J102" s="13">
        <v>90</v>
      </c>
      <c r="K102" s="13">
        <v>54812250</v>
      </c>
      <c r="N102" s="12"/>
      <c r="O102" s="12"/>
      <c r="P102" s="1"/>
    </row>
    <row r="103" spans="2:16" x14ac:dyDescent="0.4">
      <c r="B103" s="2">
        <f t="shared" si="0"/>
        <v>1216</v>
      </c>
      <c r="C103" s="1" t="s">
        <v>31</v>
      </c>
      <c r="D103" s="10" t="s">
        <v>28</v>
      </c>
      <c r="E103" s="10">
        <v>2</v>
      </c>
      <c r="F103" s="10">
        <v>2001</v>
      </c>
      <c r="G103" s="10"/>
      <c r="H103" s="10">
        <v>31003</v>
      </c>
      <c r="I103" s="15" t="s">
        <v>622</v>
      </c>
      <c r="J103" s="13">
        <v>90</v>
      </c>
      <c r="K103" s="13">
        <v>71637750</v>
      </c>
      <c r="N103" s="12"/>
      <c r="O103" s="12"/>
      <c r="P103" s="1"/>
    </row>
    <row r="104" spans="2:16" x14ac:dyDescent="0.4">
      <c r="B104" s="2">
        <f t="shared" si="0"/>
        <v>1217</v>
      </c>
      <c r="C104" s="12" t="s">
        <v>31</v>
      </c>
      <c r="D104" s="10" t="s">
        <v>28</v>
      </c>
      <c r="E104" s="10">
        <v>2</v>
      </c>
      <c r="F104" s="10">
        <v>2001</v>
      </c>
      <c r="G104" s="10"/>
      <c r="H104" s="10">
        <v>31003</v>
      </c>
      <c r="I104" s="15" t="s">
        <v>623</v>
      </c>
      <c r="J104" s="13">
        <v>90</v>
      </c>
      <c r="K104" s="13">
        <v>82037250</v>
      </c>
      <c r="N104" s="12"/>
      <c r="O104" s="12"/>
      <c r="P104" s="1"/>
    </row>
    <row r="105" spans="2:16" x14ac:dyDescent="0.4">
      <c r="B105" s="2">
        <f t="shared" si="0"/>
        <v>1218</v>
      </c>
      <c r="C105" s="1" t="s">
        <v>31</v>
      </c>
      <c r="D105" s="10" t="s">
        <v>28</v>
      </c>
      <c r="E105" s="10">
        <v>2</v>
      </c>
      <c r="F105" s="10">
        <v>2001</v>
      </c>
      <c r="G105" s="10"/>
      <c r="H105" s="10">
        <v>31003</v>
      </c>
      <c r="I105" s="15" t="s">
        <v>624</v>
      </c>
      <c r="J105" s="13">
        <v>90</v>
      </c>
      <c r="K105" s="13">
        <v>91723499</v>
      </c>
      <c r="N105" s="12"/>
      <c r="O105" s="12"/>
      <c r="P105" s="1"/>
    </row>
    <row r="106" spans="2:16" x14ac:dyDescent="0.4">
      <c r="B106" s="2">
        <f t="shared" si="0"/>
        <v>1219</v>
      </c>
      <c r="C106" s="12" t="s">
        <v>31</v>
      </c>
      <c r="D106" s="10" t="s">
        <v>28</v>
      </c>
      <c r="E106" s="10">
        <v>2</v>
      </c>
      <c r="F106" s="10">
        <v>2001</v>
      </c>
      <c r="G106" s="10"/>
      <c r="H106" s="10">
        <v>31003</v>
      </c>
      <c r="I106" s="15" t="s">
        <v>625</v>
      </c>
      <c r="J106" s="13">
        <v>90</v>
      </c>
      <c r="K106" s="13">
        <v>99776250</v>
      </c>
      <c r="N106" s="12"/>
      <c r="O106" s="12"/>
      <c r="P106" s="1"/>
    </row>
    <row r="107" spans="2:16" x14ac:dyDescent="0.4">
      <c r="B107" s="2">
        <f t="shared" si="0"/>
        <v>1220</v>
      </c>
      <c r="C107" s="1" t="s">
        <v>31</v>
      </c>
      <c r="D107" s="10" t="s">
        <v>28</v>
      </c>
      <c r="E107" s="10">
        <v>2</v>
      </c>
      <c r="F107" s="10">
        <v>2001</v>
      </c>
      <c r="G107" s="10"/>
      <c r="H107" s="10">
        <v>31003</v>
      </c>
      <c r="I107" s="15" t="s">
        <v>626</v>
      </c>
      <c r="J107" s="13">
        <v>90</v>
      </c>
      <c r="K107" s="13">
        <v>118948800</v>
      </c>
      <c r="N107" s="12"/>
      <c r="O107" s="12"/>
      <c r="P107" s="1"/>
    </row>
    <row r="108" spans="2:16" x14ac:dyDescent="0.4">
      <c r="B108" s="2">
        <f t="shared" si="0"/>
        <v>1221</v>
      </c>
      <c r="C108" s="12" t="s">
        <v>31</v>
      </c>
      <c r="D108" s="10" t="s">
        <v>28</v>
      </c>
      <c r="E108" s="10">
        <v>2</v>
      </c>
      <c r="F108" s="10">
        <v>2001</v>
      </c>
      <c r="G108" s="10"/>
      <c r="H108" s="10">
        <v>31003</v>
      </c>
      <c r="I108" s="15" t="s">
        <v>627</v>
      </c>
      <c r="J108" s="13">
        <v>90</v>
      </c>
      <c r="K108" s="13"/>
      <c r="L108" s="1">
        <v>40001</v>
      </c>
      <c r="N108" s="12"/>
      <c r="O108" s="12"/>
      <c r="P108" s="1"/>
    </row>
    <row r="109" spans="2:16" x14ac:dyDescent="0.4">
      <c r="B109" s="2">
        <f t="shared" si="0"/>
        <v>1222</v>
      </c>
      <c r="C109" s="1" t="s">
        <v>31</v>
      </c>
      <c r="D109" s="10" t="s">
        <v>28</v>
      </c>
      <c r="E109" s="10">
        <v>2</v>
      </c>
      <c r="F109" s="10">
        <v>2001</v>
      </c>
      <c r="G109" s="10"/>
      <c r="H109" s="10">
        <v>31003</v>
      </c>
      <c r="I109" s="15" t="s">
        <v>628</v>
      </c>
      <c r="J109" s="13">
        <v>90</v>
      </c>
      <c r="K109" s="13"/>
      <c r="L109" s="1">
        <v>40002</v>
      </c>
      <c r="N109" s="12"/>
      <c r="O109" s="12"/>
      <c r="P109" s="1"/>
    </row>
    <row r="110" spans="2:16" x14ac:dyDescent="0.4">
      <c r="B110" s="2">
        <f t="shared" si="0"/>
        <v>1223</v>
      </c>
      <c r="C110" s="12" t="s">
        <v>31</v>
      </c>
      <c r="D110" s="10" t="s">
        <v>28</v>
      </c>
      <c r="E110" s="10">
        <v>2</v>
      </c>
      <c r="F110" s="10">
        <v>2001</v>
      </c>
      <c r="G110" s="10"/>
      <c r="H110" s="10">
        <v>31003</v>
      </c>
      <c r="I110" s="16" t="s">
        <v>629</v>
      </c>
      <c r="J110" s="13">
        <v>90</v>
      </c>
      <c r="K110" s="13"/>
      <c r="L110" s="1">
        <v>40003</v>
      </c>
    </row>
    <row r="111" spans="2:16" x14ac:dyDescent="0.4">
      <c r="B111" s="2">
        <f t="shared" si="0"/>
        <v>1224</v>
      </c>
      <c r="C111" s="1" t="s">
        <v>31</v>
      </c>
      <c r="D111" s="10" t="s">
        <v>28</v>
      </c>
      <c r="E111" s="10">
        <v>2</v>
      </c>
      <c r="F111" s="10">
        <v>2001</v>
      </c>
      <c r="G111" s="10"/>
      <c r="H111" s="10">
        <v>31003</v>
      </c>
      <c r="I111" s="16" t="s">
        <v>630</v>
      </c>
      <c r="J111" s="13">
        <v>90</v>
      </c>
      <c r="K111" s="13"/>
      <c r="L111" s="1">
        <v>40004</v>
      </c>
    </row>
    <row r="112" spans="2:16" x14ac:dyDescent="0.4">
      <c r="B112" s="2">
        <f t="shared" si="0"/>
        <v>1225</v>
      </c>
      <c r="C112" s="12" t="s">
        <v>31</v>
      </c>
      <c r="D112" s="10" t="s">
        <v>28</v>
      </c>
      <c r="E112" s="10">
        <v>2</v>
      </c>
      <c r="F112" s="10">
        <v>2001</v>
      </c>
      <c r="G112" s="10"/>
      <c r="H112" s="10">
        <v>31003</v>
      </c>
      <c r="I112" s="16" t="s">
        <v>631</v>
      </c>
      <c r="J112" s="13">
        <v>90</v>
      </c>
      <c r="K112" s="13"/>
      <c r="L112" s="1">
        <v>40005</v>
      </c>
    </row>
    <row r="113" spans="2:15" x14ac:dyDescent="0.4">
      <c r="B113" s="2">
        <f t="shared" ref="B113:B167" si="1">B73+100</f>
        <v>1226</v>
      </c>
      <c r="C113" s="1" t="s">
        <v>31</v>
      </c>
      <c r="D113" s="10" t="s">
        <v>28</v>
      </c>
      <c r="E113" s="10">
        <v>2</v>
      </c>
      <c r="F113" s="10">
        <v>2001</v>
      </c>
      <c r="G113" s="10"/>
      <c r="H113" s="10">
        <v>31003</v>
      </c>
      <c r="I113" s="16" t="s">
        <v>632</v>
      </c>
      <c r="J113" s="13">
        <v>90</v>
      </c>
      <c r="K113" s="13"/>
      <c r="L113" s="1">
        <v>40006</v>
      </c>
    </row>
    <row r="114" spans="2:15" x14ac:dyDescent="0.4">
      <c r="B114" s="2">
        <f t="shared" si="1"/>
        <v>1227</v>
      </c>
      <c r="C114" s="12" t="s">
        <v>31</v>
      </c>
      <c r="D114" s="10" t="s">
        <v>28</v>
      </c>
      <c r="E114" s="10">
        <v>2</v>
      </c>
      <c r="F114" s="10">
        <v>2001</v>
      </c>
      <c r="G114" s="10"/>
      <c r="H114" s="10">
        <v>31003</v>
      </c>
      <c r="I114" s="16" t="s">
        <v>633</v>
      </c>
      <c r="J114" s="13">
        <v>90</v>
      </c>
      <c r="K114" s="13"/>
      <c r="L114" s="1">
        <v>40007</v>
      </c>
    </row>
    <row r="115" spans="2:15" x14ac:dyDescent="0.4">
      <c r="B115" s="2">
        <f t="shared" si="1"/>
        <v>1228</v>
      </c>
      <c r="C115" s="1" t="s">
        <v>31</v>
      </c>
      <c r="D115" s="10" t="s">
        <v>28</v>
      </c>
      <c r="E115" s="10">
        <v>2</v>
      </c>
      <c r="F115" s="10">
        <v>2001</v>
      </c>
      <c r="G115" s="10"/>
      <c r="H115" s="10">
        <v>31003</v>
      </c>
      <c r="I115" s="16" t="s">
        <v>634</v>
      </c>
      <c r="J115" s="13">
        <v>90</v>
      </c>
      <c r="K115" s="13"/>
      <c r="L115" s="1">
        <v>40008</v>
      </c>
    </row>
    <row r="116" spans="2:15" x14ac:dyDescent="0.4">
      <c r="B116" s="2">
        <f t="shared" si="1"/>
        <v>1229</v>
      </c>
      <c r="C116" s="12" t="s">
        <v>31</v>
      </c>
      <c r="D116" s="10" t="s">
        <v>28</v>
      </c>
      <c r="E116" s="10">
        <v>2</v>
      </c>
      <c r="F116" s="10">
        <v>2001</v>
      </c>
      <c r="G116" s="10"/>
      <c r="H116" s="10">
        <v>31003</v>
      </c>
      <c r="I116" s="16" t="s">
        <v>635</v>
      </c>
      <c r="J116" s="13">
        <v>90</v>
      </c>
      <c r="K116" s="13"/>
      <c r="L116" s="1">
        <v>40009</v>
      </c>
    </row>
    <row r="117" spans="2:15" x14ac:dyDescent="0.4">
      <c r="B117" s="2">
        <f t="shared" si="1"/>
        <v>1230</v>
      </c>
      <c r="C117" s="1" t="s">
        <v>31</v>
      </c>
      <c r="D117" s="10" t="s">
        <v>28</v>
      </c>
      <c r="E117" s="10">
        <v>2</v>
      </c>
      <c r="F117" s="10">
        <v>2001</v>
      </c>
      <c r="G117" s="10"/>
      <c r="H117" s="10">
        <v>31003</v>
      </c>
      <c r="I117" s="16" t="s">
        <v>636</v>
      </c>
      <c r="J117" s="13">
        <v>90</v>
      </c>
      <c r="K117" s="13"/>
      <c r="L117" s="1">
        <v>40010</v>
      </c>
    </row>
    <row r="118" spans="2:15" x14ac:dyDescent="0.4">
      <c r="B118" s="2">
        <f t="shared" si="1"/>
        <v>1231</v>
      </c>
      <c r="C118" s="12" t="s">
        <v>31</v>
      </c>
      <c r="D118" s="10" t="s">
        <v>28</v>
      </c>
      <c r="E118" s="10">
        <v>2</v>
      </c>
      <c r="F118" s="10">
        <v>2001</v>
      </c>
      <c r="G118" s="10"/>
      <c r="H118" s="10">
        <v>31003</v>
      </c>
      <c r="I118" s="16" t="s">
        <v>637</v>
      </c>
      <c r="J118" s="13">
        <v>90</v>
      </c>
      <c r="K118" s="13"/>
      <c r="L118" s="1">
        <v>40011</v>
      </c>
    </row>
    <row r="119" spans="2:15" x14ac:dyDescent="0.4">
      <c r="B119" s="2">
        <f t="shared" si="1"/>
        <v>1232</v>
      </c>
      <c r="C119" s="1" t="s">
        <v>31</v>
      </c>
      <c r="D119" s="10" t="s">
        <v>28</v>
      </c>
      <c r="E119" s="10">
        <v>2</v>
      </c>
      <c r="F119" s="10">
        <v>2001</v>
      </c>
      <c r="G119" s="10"/>
      <c r="H119" s="10">
        <v>31003</v>
      </c>
      <c r="I119" s="16" t="s">
        <v>638</v>
      </c>
      <c r="J119" s="13">
        <v>90</v>
      </c>
      <c r="K119" s="13"/>
      <c r="L119" s="1">
        <v>40012</v>
      </c>
    </row>
    <row r="120" spans="2:15" x14ac:dyDescent="0.4">
      <c r="B120" s="2">
        <f t="shared" si="1"/>
        <v>1233</v>
      </c>
      <c r="C120" s="12" t="s">
        <v>31</v>
      </c>
      <c r="D120" s="10" t="s">
        <v>28</v>
      </c>
      <c r="E120" s="10">
        <v>2</v>
      </c>
      <c r="F120" s="10">
        <v>2001</v>
      </c>
      <c r="G120" s="10"/>
      <c r="H120" s="10">
        <v>31003</v>
      </c>
      <c r="I120" s="16" t="s">
        <v>639</v>
      </c>
      <c r="J120" s="13">
        <v>90</v>
      </c>
      <c r="K120" s="13"/>
      <c r="L120" s="1">
        <v>40013</v>
      </c>
    </row>
    <row r="121" spans="2:15" x14ac:dyDescent="0.4">
      <c r="B121" s="2">
        <f t="shared" si="1"/>
        <v>1234</v>
      </c>
      <c r="C121" s="1" t="s">
        <v>31</v>
      </c>
      <c r="D121" s="10" t="s">
        <v>28</v>
      </c>
      <c r="E121" s="10">
        <v>2</v>
      </c>
      <c r="F121" s="10">
        <v>2001</v>
      </c>
      <c r="G121" s="10"/>
      <c r="H121" s="10">
        <v>31003</v>
      </c>
      <c r="I121" s="16" t="s">
        <v>640</v>
      </c>
      <c r="J121" s="13">
        <v>90</v>
      </c>
      <c r="K121" s="13"/>
      <c r="L121" s="1">
        <v>40014</v>
      </c>
    </row>
    <row r="122" spans="2:15" x14ac:dyDescent="0.4">
      <c r="B122" s="2">
        <f t="shared" si="1"/>
        <v>1235</v>
      </c>
      <c r="C122" s="12" t="s">
        <v>31</v>
      </c>
      <c r="D122" s="10" t="s">
        <v>28</v>
      </c>
      <c r="E122" s="10">
        <v>2</v>
      </c>
      <c r="F122" s="10">
        <v>2001</v>
      </c>
      <c r="G122" s="10"/>
      <c r="H122" s="10">
        <v>31003</v>
      </c>
      <c r="I122" s="16" t="s">
        <v>641</v>
      </c>
      <c r="J122" s="13">
        <v>90</v>
      </c>
      <c r="K122" s="13"/>
      <c r="L122" s="1">
        <v>40015</v>
      </c>
    </row>
    <row r="123" spans="2:15" x14ac:dyDescent="0.4">
      <c r="B123" s="2">
        <f t="shared" si="1"/>
        <v>1236</v>
      </c>
      <c r="C123" s="1" t="s">
        <v>31</v>
      </c>
      <c r="D123" s="10" t="s">
        <v>28</v>
      </c>
      <c r="E123" s="10">
        <v>2</v>
      </c>
      <c r="F123" s="10">
        <v>2001</v>
      </c>
      <c r="G123" s="10"/>
      <c r="H123" s="10">
        <v>31003</v>
      </c>
      <c r="I123" s="16" t="s">
        <v>579</v>
      </c>
      <c r="J123" s="13">
        <v>90</v>
      </c>
      <c r="K123" s="13"/>
      <c r="L123" s="1">
        <v>40016</v>
      </c>
    </row>
    <row r="124" spans="2:15" x14ac:dyDescent="0.4">
      <c r="B124" s="2">
        <f t="shared" si="1"/>
        <v>1237</v>
      </c>
      <c r="C124" s="12" t="s">
        <v>31</v>
      </c>
      <c r="D124" s="10" t="s">
        <v>28</v>
      </c>
      <c r="E124" s="10">
        <v>2</v>
      </c>
      <c r="F124" s="10">
        <v>2001</v>
      </c>
      <c r="G124" s="10"/>
      <c r="H124" s="10">
        <v>31003</v>
      </c>
      <c r="I124" s="16" t="s">
        <v>580</v>
      </c>
      <c r="J124" s="13">
        <v>90</v>
      </c>
      <c r="K124" s="13"/>
      <c r="L124" s="1">
        <v>40017</v>
      </c>
    </row>
    <row r="125" spans="2:15" x14ac:dyDescent="0.4">
      <c r="B125" s="2">
        <f t="shared" si="1"/>
        <v>1238</v>
      </c>
      <c r="C125" s="1" t="s">
        <v>31</v>
      </c>
      <c r="D125" s="10" t="s">
        <v>28</v>
      </c>
      <c r="E125" s="10">
        <v>2</v>
      </c>
      <c r="F125" s="10">
        <v>2001</v>
      </c>
      <c r="G125" s="10"/>
      <c r="H125" s="10">
        <v>31003</v>
      </c>
      <c r="I125" s="16" t="s">
        <v>581</v>
      </c>
      <c r="J125" s="13">
        <v>90</v>
      </c>
      <c r="K125" s="13"/>
      <c r="L125" s="1">
        <v>40018</v>
      </c>
    </row>
    <row r="126" spans="2:15" x14ac:dyDescent="0.4">
      <c r="B126" s="2">
        <f t="shared" si="1"/>
        <v>1239</v>
      </c>
      <c r="C126" s="12" t="s">
        <v>31</v>
      </c>
      <c r="D126" s="10" t="s">
        <v>28</v>
      </c>
      <c r="E126" s="10">
        <v>2</v>
      </c>
      <c r="F126" s="10">
        <v>2001</v>
      </c>
      <c r="G126" s="10"/>
      <c r="H126" s="10">
        <v>31003</v>
      </c>
      <c r="I126" s="16" t="s">
        <v>642</v>
      </c>
      <c r="J126" s="13">
        <v>90</v>
      </c>
      <c r="K126" s="13"/>
      <c r="L126" s="1">
        <v>40019</v>
      </c>
    </row>
    <row r="127" spans="2:15" x14ac:dyDescent="0.4">
      <c r="B127" s="2">
        <f t="shared" si="1"/>
        <v>1240</v>
      </c>
      <c r="C127" s="1" t="s">
        <v>31</v>
      </c>
      <c r="D127" s="10" t="s">
        <v>28</v>
      </c>
      <c r="E127" s="10">
        <v>2</v>
      </c>
      <c r="F127" s="10">
        <v>2001</v>
      </c>
      <c r="G127" s="10"/>
      <c r="H127" s="10">
        <v>31003</v>
      </c>
      <c r="I127" s="16" t="s">
        <v>582</v>
      </c>
      <c r="J127" s="13">
        <v>90</v>
      </c>
      <c r="K127" s="13"/>
      <c r="L127" s="1">
        <v>40020</v>
      </c>
    </row>
    <row r="128" spans="2:15" s="1" customFormat="1" x14ac:dyDescent="0.4">
      <c r="B128" s="2">
        <f t="shared" si="1"/>
        <v>1301</v>
      </c>
      <c r="C128" s="1" t="s">
        <v>32</v>
      </c>
      <c r="D128" s="10" t="s">
        <v>28</v>
      </c>
      <c r="E128" s="10">
        <v>2</v>
      </c>
      <c r="F128" s="10">
        <v>2001</v>
      </c>
      <c r="G128" s="10"/>
      <c r="H128" s="10">
        <v>31004</v>
      </c>
      <c r="I128" s="7" t="s">
        <v>607</v>
      </c>
      <c r="J128" s="13">
        <v>90</v>
      </c>
      <c r="K128" s="13">
        <v>53400</v>
      </c>
      <c r="L128"/>
      <c r="N128" s="12"/>
      <c r="O128" s="12"/>
    </row>
    <row r="129" spans="2:16" s="1" customFormat="1" x14ac:dyDescent="0.4">
      <c r="B129" s="2">
        <f t="shared" si="1"/>
        <v>1302</v>
      </c>
      <c r="C129" s="1" t="s">
        <v>32</v>
      </c>
      <c r="D129" s="10" t="s">
        <v>28</v>
      </c>
      <c r="E129" s="10">
        <v>2</v>
      </c>
      <c r="F129" s="10">
        <v>2001</v>
      </c>
      <c r="G129" s="10"/>
      <c r="H129" s="10">
        <v>31004</v>
      </c>
      <c r="I129" s="15" t="s">
        <v>608</v>
      </c>
      <c r="J129" s="13">
        <v>90</v>
      </c>
      <c r="K129" s="13">
        <v>103800</v>
      </c>
      <c r="L129"/>
      <c r="N129" s="12"/>
      <c r="O129" s="12"/>
    </row>
    <row r="130" spans="2:16" s="1" customFormat="1" x14ac:dyDescent="0.4">
      <c r="B130" s="2">
        <f t="shared" si="1"/>
        <v>1303</v>
      </c>
      <c r="C130" s="1" t="s">
        <v>32</v>
      </c>
      <c r="D130" s="10" t="s">
        <v>28</v>
      </c>
      <c r="E130" s="10">
        <v>2</v>
      </c>
      <c r="F130" s="10">
        <v>2001</v>
      </c>
      <c r="G130" s="10"/>
      <c r="H130" s="10">
        <v>31004</v>
      </c>
      <c r="I130" s="15" t="s">
        <v>609</v>
      </c>
      <c r="J130" s="13">
        <v>90</v>
      </c>
      <c r="K130" s="13">
        <v>174240</v>
      </c>
      <c r="L130"/>
      <c r="N130" s="12"/>
      <c r="O130" s="12"/>
    </row>
    <row r="131" spans="2:16" s="1" customFormat="1" x14ac:dyDescent="0.4">
      <c r="B131" s="2">
        <f t="shared" si="1"/>
        <v>1304</v>
      </c>
      <c r="C131" s="1" t="s">
        <v>32</v>
      </c>
      <c r="D131" s="10" t="s">
        <v>28</v>
      </c>
      <c r="E131" s="10">
        <v>2</v>
      </c>
      <c r="F131" s="10">
        <v>2001</v>
      </c>
      <c r="G131" s="10"/>
      <c r="H131" s="10">
        <v>31004</v>
      </c>
      <c r="I131" s="15" t="s">
        <v>610</v>
      </c>
      <c r="J131" s="13">
        <v>90</v>
      </c>
      <c r="K131" s="13">
        <v>316932</v>
      </c>
      <c r="L131"/>
      <c r="N131" s="12"/>
      <c r="O131" s="12"/>
    </row>
    <row r="132" spans="2:16" s="1" customFormat="1" x14ac:dyDescent="0.4">
      <c r="B132" s="2">
        <f t="shared" si="1"/>
        <v>1305</v>
      </c>
      <c r="C132" s="1" t="s">
        <v>32</v>
      </c>
      <c r="D132" s="10" t="s">
        <v>28</v>
      </c>
      <c r="E132" s="10">
        <v>2</v>
      </c>
      <c r="F132" s="10">
        <v>2001</v>
      </c>
      <c r="G132" s="10"/>
      <c r="H132" s="10">
        <v>31004</v>
      </c>
      <c r="I132" s="15" t="s">
        <v>611</v>
      </c>
      <c r="J132" s="13">
        <v>90</v>
      </c>
      <c r="K132" s="13">
        <v>727200</v>
      </c>
      <c r="L132"/>
      <c r="N132" s="12"/>
      <c r="O132" s="12"/>
    </row>
    <row r="133" spans="2:16" s="1" customFormat="1" x14ac:dyDescent="0.4">
      <c r="B133" s="2">
        <f t="shared" si="1"/>
        <v>1306</v>
      </c>
      <c r="C133" s="1" t="s">
        <v>32</v>
      </c>
      <c r="D133" s="10" t="s">
        <v>28</v>
      </c>
      <c r="E133" s="10">
        <v>2</v>
      </c>
      <c r="F133" s="10">
        <v>2001</v>
      </c>
      <c r="G133" s="10"/>
      <c r="H133" s="10">
        <v>31004</v>
      </c>
      <c r="I133" s="15" t="s">
        <v>612</v>
      </c>
      <c r="J133" s="13">
        <v>90</v>
      </c>
      <c r="K133" s="13">
        <v>2082816</v>
      </c>
      <c r="L133"/>
      <c r="N133" s="12"/>
      <c r="O133" s="12"/>
    </row>
    <row r="134" spans="2:16" s="1" customFormat="1" x14ac:dyDescent="0.4">
      <c r="B134" s="2">
        <f t="shared" si="1"/>
        <v>1307</v>
      </c>
      <c r="C134" s="1" t="s">
        <v>32</v>
      </c>
      <c r="D134" s="10" t="s">
        <v>28</v>
      </c>
      <c r="E134" s="10">
        <v>2</v>
      </c>
      <c r="F134" s="10">
        <v>2001</v>
      </c>
      <c r="G134" s="10"/>
      <c r="H134" s="10">
        <v>31004</v>
      </c>
      <c r="I134" s="15" t="s">
        <v>613</v>
      </c>
      <c r="J134" s="13">
        <v>90</v>
      </c>
      <c r="K134" s="13">
        <v>3102528</v>
      </c>
      <c r="L134"/>
      <c r="N134" s="12"/>
      <c r="O134" s="12"/>
    </row>
    <row r="135" spans="2:16" s="1" customFormat="1" x14ac:dyDescent="0.4">
      <c r="B135" s="2">
        <f t="shared" si="1"/>
        <v>1308</v>
      </c>
      <c r="C135" s="1" t="s">
        <v>32</v>
      </c>
      <c r="D135" s="10" t="s">
        <v>28</v>
      </c>
      <c r="E135" s="10">
        <v>2</v>
      </c>
      <c r="F135" s="10">
        <v>2001</v>
      </c>
      <c r="G135" s="10"/>
      <c r="H135" s="10">
        <v>31004</v>
      </c>
      <c r="I135" s="15" t="s">
        <v>614</v>
      </c>
      <c r="J135" s="13">
        <v>90</v>
      </c>
      <c r="K135" s="13">
        <v>5251740</v>
      </c>
      <c r="L135"/>
      <c r="N135" s="12"/>
      <c r="O135" s="12"/>
    </row>
    <row r="136" spans="2:16" s="1" customFormat="1" x14ac:dyDescent="0.4">
      <c r="B136" s="2">
        <f t="shared" si="1"/>
        <v>1309</v>
      </c>
      <c r="C136" s="1" t="s">
        <v>32</v>
      </c>
      <c r="D136" s="10" t="s">
        <v>28</v>
      </c>
      <c r="E136" s="10">
        <v>2</v>
      </c>
      <c r="F136" s="10">
        <v>2001</v>
      </c>
      <c r="G136" s="10"/>
      <c r="H136" s="10">
        <v>31004</v>
      </c>
      <c r="I136" s="15" t="s">
        <v>615</v>
      </c>
      <c r="J136" s="13">
        <v>90</v>
      </c>
      <c r="K136" s="13">
        <v>6827262</v>
      </c>
      <c r="L136"/>
      <c r="N136" s="12"/>
      <c r="O136" s="12"/>
    </row>
    <row r="137" spans="2:16" s="1" customFormat="1" x14ac:dyDescent="0.4">
      <c r="B137" s="2">
        <f t="shared" si="1"/>
        <v>1310</v>
      </c>
      <c r="C137" s="1" t="s">
        <v>32</v>
      </c>
      <c r="D137" s="10" t="s">
        <v>28</v>
      </c>
      <c r="E137" s="10">
        <v>2</v>
      </c>
      <c r="F137" s="10">
        <v>2001</v>
      </c>
      <c r="G137" s="10"/>
      <c r="H137" s="10">
        <v>31004</v>
      </c>
      <c r="I137" s="15" t="s">
        <v>616</v>
      </c>
      <c r="J137" s="13">
        <v>90</v>
      </c>
      <c r="K137" s="13">
        <v>9037080</v>
      </c>
      <c r="L137"/>
      <c r="N137" s="12"/>
      <c r="O137" s="12"/>
    </row>
    <row r="138" spans="2:16" s="1" customFormat="1" x14ac:dyDescent="0.4">
      <c r="B138" s="2">
        <f t="shared" si="1"/>
        <v>1311</v>
      </c>
      <c r="C138" s="12" t="s">
        <v>32</v>
      </c>
      <c r="D138" s="10" t="s">
        <v>28</v>
      </c>
      <c r="E138" s="10">
        <v>2</v>
      </c>
      <c r="F138" s="10">
        <v>2001</v>
      </c>
      <c r="G138" s="10"/>
      <c r="H138" s="10">
        <v>31004</v>
      </c>
      <c r="I138" s="15" t="s">
        <v>617</v>
      </c>
      <c r="J138" s="13">
        <v>90</v>
      </c>
      <c r="K138" s="13">
        <v>27803520</v>
      </c>
      <c r="L138"/>
      <c r="N138" s="12"/>
      <c r="O138" s="12"/>
    </row>
    <row r="139" spans="2:16" s="1" customFormat="1" x14ac:dyDescent="0.4">
      <c r="B139" s="2">
        <f t="shared" si="1"/>
        <v>1312</v>
      </c>
      <c r="C139" s="1" t="s">
        <v>32</v>
      </c>
      <c r="D139" s="10" t="s">
        <v>28</v>
      </c>
      <c r="E139" s="10">
        <v>2</v>
      </c>
      <c r="F139" s="10">
        <v>2001</v>
      </c>
      <c r="G139" s="10"/>
      <c r="H139" s="10">
        <v>31004</v>
      </c>
      <c r="I139" s="15" t="s">
        <v>618</v>
      </c>
      <c r="J139" s="13">
        <v>90</v>
      </c>
      <c r="K139" s="13">
        <v>35117280</v>
      </c>
      <c r="L139"/>
      <c r="N139" s="12"/>
      <c r="O139" s="12"/>
    </row>
    <row r="140" spans="2:16" x14ac:dyDescent="0.4">
      <c r="B140" s="2">
        <f t="shared" si="1"/>
        <v>1313</v>
      </c>
      <c r="C140" s="12" t="s">
        <v>32</v>
      </c>
      <c r="D140" s="10" t="s">
        <v>28</v>
      </c>
      <c r="E140" s="10">
        <v>2</v>
      </c>
      <c r="F140" s="10">
        <v>2001</v>
      </c>
      <c r="G140" s="10"/>
      <c r="H140" s="10">
        <v>31004</v>
      </c>
      <c r="I140" s="15" t="s">
        <v>619</v>
      </c>
      <c r="J140" s="13">
        <v>90</v>
      </c>
      <c r="K140" s="13">
        <v>45325440</v>
      </c>
      <c r="N140" s="12"/>
      <c r="O140" s="12"/>
      <c r="P140" s="1"/>
    </row>
    <row r="141" spans="2:16" x14ac:dyDescent="0.4">
      <c r="B141" s="2">
        <f t="shared" si="1"/>
        <v>1314</v>
      </c>
      <c r="C141" s="1" t="s">
        <v>32</v>
      </c>
      <c r="D141" s="10" t="s">
        <v>28</v>
      </c>
      <c r="E141" s="10">
        <v>2</v>
      </c>
      <c r="F141" s="10">
        <v>2001</v>
      </c>
      <c r="G141" s="10"/>
      <c r="H141" s="10">
        <v>31004</v>
      </c>
      <c r="I141" s="15" t="s">
        <v>620</v>
      </c>
      <c r="J141" s="13">
        <v>90</v>
      </c>
      <c r="K141" s="13">
        <v>47214000</v>
      </c>
      <c r="N141" s="12"/>
      <c r="O141" s="12"/>
      <c r="P141" s="1"/>
    </row>
    <row r="142" spans="2:16" x14ac:dyDescent="0.4">
      <c r="B142" s="2">
        <f t="shared" si="1"/>
        <v>1315</v>
      </c>
      <c r="C142" s="12" t="s">
        <v>32</v>
      </c>
      <c r="D142" s="10" t="s">
        <v>28</v>
      </c>
      <c r="E142" s="10">
        <v>2</v>
      </c>
      <c r="F142" s="10">
        <v>2001</v>
      </c>
      <c r="G142" s="10"/>
      <c r="H142" s="10">
        <v>31004</v>
      </c>
      <c r="I142" s="15" t="s">
        <v>621</v>
      </c>
      <c r="J142" s="13">
        <v>90</v>
      </c>
      <c r="K142" s="13">
        <v>54812250</v>
      </c>
      <c r="N142" s="12"/>
      <c r="O142" s="12"/>
      <c r="P142" s="1"/>
    </row>
    <row r="143" spans="2:16" x14ac:dyDescent="0.4">
      <c r="B143" s="2">
        <f t="shared" si="1"/>
        <v>1316</v>
      </c>
      <c r="C143" s="1" t="s">
        <v>32</v>
      </c>
      <c r="D143" s="10" t="s">
        <v>28</v>
      </c>
      <c r="E143" s="10">
        <v>2</v>
      </c>
      <c r="F143" s="10">
        <v>2001</v>
      </c>
      <c r="G143" s="10"/>
      <c r="H143" s="10">
        <v>31004</v>
      </c>
      <c r="I143" s="15" t="s">
        <v>622</v>
      </c>
      <c r="J143" s="13">
        <v>90</v>
      </c>
      <c r="K143" s="13">
        <v>71637750</v>
      </c>
      <c r="N143" s="12"/>
      <c r="O143" s="12"/>
      <c r="P143" s="1"/>
    </row>
    <row r="144" spans="2:16" x14ac:dyDescent="0.4">
      <c r="B144" s="2">
        <f t="shared" si="1"/>
        <v>1317</v>
      </c>
      <c r="C144" s="12" t="s">
        <v>32</v>
      </c>
      <c r="D144" s="10" t="s">
        <v>28</v>
      </c>
      <c r="E144" s="10">
        <v>2</v>
      </c>
      <c r="F144" s="10">
        <v>2001</v>
      </c>
      <c r="G144" s="10"/>
      <c r="H144" s="10">
        <v>31004</v>
      </c>
      <c r="I144" s="15" t="s">
        <v>623</v>
      </c>
      <c r="J144" s="13">
        <v>90</v>
      </c>
      <c r="K144" s="13">
        <v>82037250</v>
      </c>
      <c r="N144" s="12"/>
      <c r="O144" s="12"/>
      <c r="P144" s="1"/>
    </row>
    <row r="145" spans="2:16" x14ac:dyDescent="0.4">
      <c r="B145" s="2">
        <f t="shared" si="1"/>
        <v>1318</v>
      </c>
      <c r="C145" s="1" t="s">
        <v>32</v>
      </c>
      <c r="D145" s="10" t="s">
        <v>28</v>
      </c>
      <c r="E145" s="10">
        <v>2</v>
      </c>
      <c r="F145" s="10">
        <v>2001</v>
      </c>
      <c r="G145" s="10"/>
      <c r="H145" s="10">
        <v>31004</v>
      </c>
      <c r="I145" s="15" t="s">
        <v>624</v>
      </c>
      <c r="J145" s="13">
        <v>90</v>
      </c>
      <c r="K145" s="13">
        <v>91723499</v>
      </c>
      <c r="N145" s="12"/>
      <c r="O145" s="12"/>
      <c r="P145" s="1"/>
    </row>
    <row r="146" spans="2:16" x14ac:dyDescent="0.4">
      <c r="B146" s="2">
        <f t="shared" si="1"/>
        <v>1319</v>
      </c>
      <c r="C146" s="12" t="s">
        <v>32</v>
      </c>
      <c r="D146" s="10" t="s">
        <v>28</v>
      </c>
      <c r="E146" s="10">
        <v>2</v>
      </c>
      <c r="F146" s="10">
        <v>2001</v>
      </c>
      <c r="G146" s="10"/>
      <c r="H146" s="10">
        <v>31004</v>
      </c>
      <c r="I146" s="15" t="s">
        <v>625</v>
      </c>
      <c r="J146" s="13">
        <v>90</v>
      </c>
      <c r="K146" s="13">
        <v>99776250</v>
      </c>
      <c r="N146" s="12"/>
      <c r="O146" s="12"/>
      <c r="P146" s="1"/>
    </row>
    <row r="147" spans="2:16" x14ac:dyDescent="0.4">
      <c r="B147" s="2">
        <f t="shared" si="1"/>
        <v>1320</v>
      </c>
      <c r="C147" s="1" t="s">
        <v>32</v>
      </c>
      <c r="D147" s="10" t="s">
        <v>28</v>
      </c>
      <c r="E147" s="10">
        <v>2</v>
      </c>
      <c r="F147" s="10">
        <v>2001</v>
      </c>
      <c r="G147" s="10"/>
      <c r="H147" s="10">
        <v>31004</v>
      </c>
      <c r="I147" s="15" t="s">
        <v>626</v>
      </c>
      <c r="J147" s="13">
        <v>90</v>
      </c>
      <c r="K147" s="13">
        <v>118948800</v>
      </c>
      <c r="N147" s="12"/>
      <c r="O147" s="12"/>
      <c r="P147" s="1"/>
    </row>
    <row r="148" spans="2:16" x14ac:dyDescent="0.4">
      <c r="B148" s="2">
        <f t="shared" si="1"/>
        <v>1321</v>
      </c>
      <c r="C148" s="12" t="s">
        <v>32</v>
      </c>
      <c r="D148" s="10" t="s">
        <v>28</v>
      </c>
      <c r="E148" s="10">
        <v>2</v>
      </c>
      <c r="F148" s="10">
        <v>2001</v>
      </c>
      <c r="G148" s="10"/>
      <c r="H148" s="10">
        <v>31004</v>
      </c>
      <c r="I148" s="15" t="s">
        <v>627</v>
      </c>
      <c r="J148" s="13">
        <v>90</v>
      </c>
      <c r="K148" s="13"/>
      <c r="L148" s="1">
        <v>40001</v>
      </c>
      <c r="N148" s="12"/>
      <c r="O148" s="12"/>
      <c r="P148" s="1"/>
    </row>
    <row r="149" spans="2:16" x14ac:dyDescent="0.4">
      <c r="B149" s="2">
        <f t="shared" si="1"/>
        <v>1322</v>
      </c>
      <c r="C149" s="1" t="s">
        <v>32</v>
      </c>
      <c r="D149" s="10" t="s">
        <v>28</v>
      </c>
      <c r="E149" s="10">
        <v>2</v>
      </c>
      <c r="F149" s="10">
        <v>2001</v>
      </c>
      <c r="G149" s="10"/>
      <c r="H149" s="10">
        <v>31004</v>
      </c>
      <c r="I149" s="15" t="s">
        <v>628</v>
      </c>
      <c r="J149" s="13">
        <v>90</v>
      </c>
      <c r="K149" s="13"/>
      <c r="L149" s="1">
        <v>40002</v>
      </c>
      <c r="N149" s="12"/>
      <c r="O149" s="12"/>
      <c r="P149" s="1"/>
    </row>
    <row r="150" spans="2:16" x14ac:dyDescent="0.4">
      <c r="B150" s="2">
        <f t="shared" si="1"/>
        <v>1323</v>
      </c>
      <c r="C150" s="12" t="s">
        <v>32</v>
      </c>
      <c r="D150" s="10" t="s">
        <v>28</v>
      </c>
      <c r="E150" s="10">
        <v>2</v>
      </c>
      <c r="F150" s="10">
        <v>2001</v>
      </c>
      <c r="G150" s="10"/>
      <c r="H150" s="10">
        <v>31004</v>
      </c>
      <c r="I150" s="16" t="s">
        <v>629</v>
      </c>
      <c r="J150" s="13">
        <v>90</v>
      </c>
      <c r="K150" s="13"/>
      <c r="L150" s="1">
        <v>40003</v>
      </c>
    </row>
    <row r="151" spans="2:16" x14ac:dyDescent="0.4">
      <c r="B151" s="2">
        <f t="shared" si="1"/>
        <v>1324</v>
      </c>
      <c r="C151" s="1" t="s">
        <v>32</v>
      </c>
      <c r="D151" s="10" t="s">
        <v>28</v>
      </c>
      <c r="E151" s="10">
        <v>2</v>
      </c>
      <c r="F151" s="10">
        <v>2001</v>
      </c>
      <c r="G151" s="10"/>
      <c r="H151" s="10">
        <v>31004</v>
      </c>
      <c r="I151" s="16" t="s">
        <v>630</v>
      </c>
      <c r="J151" s="13">
        <v>90</v>
      </c>
      <c r="K151" s="13"/>
      <c r="L151" s="1">
        <v>40004</v>
      </c>
    </row>
    <row r="152" spans="2:16" x14ac:dyDescent="0.4">
      <c r="B152" s="2">
        <f t="shared" si="1"/>
        <v>1325</v>
      </c>
      <c r="C152" s="12" t="s">
        <v>32</v>
      </c>
      <c r="D152" s="10" t="s">
        <v>28</v>
      </c>
      <c r="E152" s="10">
        <v>2</v>
      </c>
      <c r="F152" s="10">
        <v>2001</v>
      </c>
      <c r="G152" s="10"/>
      <c r="H152" s="10">
        <v>31004</v>
      </c>
      <c r="I152" s="16" t="s">
        <v>631</v>
      </c>
      <c r="J152" s="13">
        <v>90</v>
      </c>
      <c r="K152" s="13"/>
      <c r="L152" s="1">
        <v>40005</v>
      </c>
    </row>
    <row r="153" spans="2:16" x14ac:dyDescent="0.4">
      <c r="B153" s="2">
        <f t="shared" si="1"/>
        <v>1326</v>
      </c>
      <c r="C153" s="1" t="s">
        <v>32</v>
      </c>
      <c r="D153" s="10" t="s">
        <v>28</v>
      </c>
      <c r="E153" s="10">
        <v>2</v>
      </c>
      <c r="F153" s="10">
        <v>2001</v>
      </c>
      <c r="G153" s="10"/>
      <c r="H153" s="10">
        <v>31004</v>
      </c>
      <c r="I153" s="16" t="s">
        <v>632</v>
      </c>
      <c r="J153" s="13">
        <v>90</v>
      </c>
      <c r="K153" s="13"/>
      <c r="L153" s="1">
        <v>40006</v>
      </c>
    </row>
    <row r="154" spans="2:16" x14ac:dyDescent="0.4">
      <c r="B154" s="2">
        <f t="shared" si="1"/>
        <v>1327</v>
      </c>
      <c r="C154" s="12" t="s">
        <v>32</v>
      </c>
      <c r="D154" s="10" t="s">
        <v>28</v>
      </c>
      <c r="E154" s="10">
        <v>2</v>
      </c>
      <c r="F154" s="10">
        <v>2001</v>
      </c>
      <c r="G154" s="10"/>
      <c r="H154" s="10">
        <v>31004</v>
      </c>
      <c r="I154" s="16" t="s">
        <v>633</v>
      </c>
      <c r="J154" s="13">
        <v>90</v>
      </c>
      <c r="K154" s="13"/>
      <c r="L154" s="1">
        <v>40007</v>
      </c>
    </row>
    <row r="155" spans="2:16" x14ac:dyDescent="0.4">
      <c r="B155" s="2">
        <f t="shared" si="1"/>
        <v>1328</v>
      </c>
      <c r="C155" s="1" t="s">
        <v>32</v>
      </c>
      <c r="D155" s="10" t="s">
        <v>28</v>
      </c>
      <c r="E155" s="10">
        <v>2</v>
      </c>
      <c r="F155" s="10">
        <v>2001</v>
      </c>
      <c r="G155" s="10"/>
      <c r="H155" s="10">
        <v>31004</v>
      </c>
      <c r="I155" s="16" t="s">
        <v>634</v>
      </c>
      <c r="J155" s="13">
        <v>90</v>
      </c>
      <c r="K155" s="13"/>
      <c r="L155" s="1">
        <v>40008</v>
      </c>
    </row>
    <row r="156" spans="2:16" x14ac:dyDescent="0.4">
      <c r="B156" s="2">
        <f t="shared" si="1"/>
        <v>1329</v>
      </c>
      <c r="C156" s="12" t="s">
        <v>32</v>
      </c>
      <c r="D156" s="10" t="s">
        <v>28</v>
      </c>
      <c r="E156" s="10">
        <v>2</v>
      </c>
      <c r="F156" s="10">
        <v>2001</v>
      </c>
      <c r="G156" s="10"/>
      <c r="H156" s="10">
        <v>31004</v>
      </c>
      <c r="I156" s="16" t="s">
        <v>635</v>
      </c>
      <c r="J156" s="13">
        <v>90</v>
      </c>
      <c r="K156" s="13"/>
      <c r="L156" s="1">
        <v>40009</v>
      </c>
    </row>
    <row r="157" spans="2:16" x14ac:dyDescent="0.4">
      <c r="B157" s="2">
        <f t="shared" si="1"/>
        <v>1330</v>
      </c>
      <c r="C157" s="1" t="s">
        <v>32</v>
      </c>
      <c r="D157" s="10" t="s">
        <v>28</v>
      </c>
      <c r="E157" s="10">
        <v>2</v>
      </c>
      <c r="F157" s="10">
        <v>2001</v>
      </c>
      <c r="G157" s="10"/>
      <c r="H157" s="10">
        <v>31004</v>
      </c>
      <c r="I157" s="16" t="s">
        <v>636</v>
      </c>
      <c r="J157" s="13">
        <v>90</v>
      </c>
      <c r="K157" s="13"/>
      <c r="L157" s="1">
        <v>40010</v>
      </c>
    </row>
    <row r="158" spans="2:16" x14ac:dyDescent="0.4">
      <c r="B158" s="2">
        <f t="shared" si="1"/>
        <v>1331</v>
      </c>
      <c r="C158" s="12" t="s">
        <v>32</v>
      </c>
      <c r="D158" s="10" t="s">
        <v>28</v>
      </c>
      <c r="E158" s="10">
        <v>2</v>
      </c>
      <c r="F158" s="10">
        <v>2001</v>
      </c>
      <c r="G158" s="10"/>
      <c r="H158" s="10">
        <v>31004</v>
      </c>
      <c r="I158" s="16" t="s">
        <v>637</v>
      </c>
      <c r="J158" s="13">
        <v>90</v>
      </c>
      <c r="K158" s="13"/>
      <c r="L158" s="1">
        <v>40011</v>
      </c>
    </row>
    <row r="159" spans="2:16" x14ac:dyDescent="0.4">
      <c r="B159" s="2">
        <f t="shared" si="1"/>
        <v>1332</v>
      </c>
      <c r="C159" s="1" t="s">
        <v>32</v>
      </c>
      <c r="D159" s="10" t="s">
        <v>28</v>
      </c>
      <c r="E159" s="10">
        <v>2</v>
      </c>
      <c r="F159" s="10">
        <v>2001</v>
      </c>
      <c r="G159" s="10"/>
      <c r="H159" s="10">
        <v>31004</v>
      </c>
      <c r="I159" s="16" t="s">
        <v>638</v>
      </c>
      <c r="J159" s="13">
        <v>90</v>
      </c>
      <c r="K159" s="13"/>
      <c r="L159" s="1">
        <v>40012</v>
      </c>
    </row>
    <row r="160" spans="2:16" x14ac:dyDescent="0.4">
      <c r="B160" s="2">
        <f t="shared" si="1"/>
        <v>1333</v>
      </c>
      <c r="C160" s="12" t="s">
        <v>32</v>
      </c>
      <c r="D160" s="10" t="s">
        <v>28</v>
      </c>
      <c r="E160" s="10">
        <v>2</v>
      </c>
      <c r="F160" s="10">
        <v>2001</v>
      </c>
      <c r="G160" s="10"/>
      <c r="H160" s="10">
        <v>31004</v>
      </c>
      <c r="I160" s="16" t="s">
        <v>639</v>
      </c>
      <c r="J160" s="13">
        <v>90</v>
      </c>
      <c r="K160" s="13"/>
      <c r="L160" s="1">
        <v>40013</v>
      </c>
    </row>
    <row r="161" spans="2:12" x14ac:dyDescent="0.4">
      <c r="B161" s="2">
        <f t="shared" si="1"/>
        <v>1334</v>
      </c>
      <c r="C161" s="1" t="s">
        <v>32</v>
      </c>
      <c r="D161" s="10" t="s">
        <v>28</v>
      </c>
      <c r="E161" s="10">
        <v>2</v>
      </c>
      <c r="F161" s="10">
        <v>2001</v>
      </c>
      <c r="G161" s="10"/>
      <c r="H161" s="10">
        <v>31004</v>
      </c>
      <c r="I161" s="16" t="s">
        <v>640</v>
      </c>
      <c r="J161" s="13">
        <v>90</v>
      </c>
      <c r="K161" s="13"/>
      <c r="L161" s="1">
        <v>40014</v>
      </c>
    </row>
    <row r="162" spans="2:12" x14ac:dyDescent="0.4">
      <c r="B162" s="2">
        <f t="shared" si="1"/>
        <v>1335</v>
      </c>
      <c r="C162" s="12" t="s">
        <v>32</v>
      </c>
      <c r="D162" s="10" t="s">
        <v>28</v>
      </c>
      <c r="E162" s="10">
        <v>2</v>
      </c>
      <c r="F162" s="10">
        <v>2001</v>
      </c>
      <c r="G162" s="10"/>
      <c r="H162" s="10">
        <v>31004</v>
      </c>
      <c r="I162" s="16" t="s">
        <v>641</v>
      </c>
      <c r="J162" s="13">
        <v>90</v>
      </c>
      <c r="K162" s="13"/>
      <c r="L162" s="1">
        <v>40015</v>
      </c>
    </row>
    <row r="163" spans="2:12" x14ac:dyDescent="0.4">
      <c r="B163" s="2">
        <f t="shared" si="1"/>
        <v>1336</v>
      </c>
      <c r="C163" s="1" t="s">
        <v>32</v>
      </c>
      <c r="D163" s="10" t="s">
        <v>28</v>
      </c>
      <c r="E163" s="10">
        <v>2</v>
      </c>
      <c r="F163" s="10">
        <v>2001</v>
      </c>
      <c r="G163" s="10"/>
      <c r="H163" s="10">
        <v>31004</v>
      </c>
      <c r="I163" s="16" t="s">
        <v>579</v>
      </c>
      <c r="J163" s="13">
        <v>90</v>
      </c>
      <c r="K163" s="13"/>
      <c r="L163" s="1">
        <v>40016</v>
      </c>
    </row>
    <row r="164" spans="2:12" x14ac:dyDescent="0.4">
      <c r="B164" s="2">
        <f t="shared" si="1"/>
        <v>1337</v>
      </c>
      <c r="C164" s="12" t="s">
        <v>32</v>
      </c>
      <c r="D164" s="10" t="s">
        <v>28</v>
      </c>
      <c r="E164" s="10">
        <v>2</v>
      </c>
      <c r="F164" s="10">
        <v>2001</v>
      </c>
      <c r="G164" s="10"/>
      <c r="H164" s="10">
        <v>31004</v>
      </c>
      <c r="I164" s="16" t="s">
        <v>580</v>
      </c>
      <c r="J164" s="13">
        <v>90</v>
      </c>
      <c r="K164" s="13"/>
      <c r="L164" s="1">
        <v>40017</v>
      </c>
    </row>
    <row r="165" spans="2:12" x14ac:dyDescent="0.4">
      <c r="B165" s="2">
        <f t="shared" si="1"/>
        <v>1338</v>
      </c>
      <c r="C165" s="1" t="s">
        <v>32</v>
      </c>
      <c r="D165" s="10" t="s">
        <v>28</v>
      </c>
      <c r="E165" s="10">
        <v>2</v>
      </c>
      <c r="F165" s="10">
        <v>2001</v>
      </c>
      <c r="G165" s="10"/>
      <c r="H165" s="10">
        <v>31004</v>
      </c>
      <c r="I165" s="16" t="s">
        <v>581</v>
      </c>
      <c r="J165" s="13">
        <v>90</v>
      </c>
      <c r="K165" s="13"/>
      <c r="L165" s="1">
        <v>40018</v>
      </c>
    </row>
    <row r="166" spans="2:12" x14ac:dyDescent="0.4">
      <c r="B166" s="2">
        <f t="shared" si="1"/>
        <v>1339</v>
      </c>
      <c r="C166" s="12" t="s">
        <v>32</v>
      </c>
      <c r="D166" s="10" t="s">
        <v>28</v>
      </c>
      <c r="E166" s="10">
        <v>2</v>
      </c>
      <c r="F166" s="10">
        <v>2001</v>
      </c>
      <c r="G166" s="10"/>
      <c r="H166" s="10">
        <v>31004</v>
      </c>
      <c r="I166" s="16" t="s">
        <v>642</v>
      </c>
      <c r="J166" s="13">
        <v>90</v>
      </c>
      <c r="K166" s="13"/>
      <c r="L166" s="1">
        <v>40019</v>
      </c>
    </row>
    <row r="167" spans="2:12" x14ac:dyDescent="0.4">
      <c r="B167" s="2">
        <f t="shared" si="1"/>
        <v>1340</v>
      </c>
      <c r="C167" s="1" t="s">
        <v>32</v>
      </c>
      <c r="D167" s="10" t="s">
        <v>28</v>
      </c>
      <c r="E167" s="10">
        <v>2</v>
      </c>
      <c r="F167" s="10">
        <v>2001</v>
      </c>
      <c r="G167" s="10"/>
      <c r="H167" s="10">
        <v>31004</v>
      </c>
      <c r="I167" s="16" t="s">
        <v>582</v>
      </c>
      <c r="J167" s="13">
        <v>90</v>
      </c>
      <c r="K167" s="13"/>
      <c r="L167" s="1">
        <v>40020</v>
      </c>
    </row>
    <row r="168" spans="2:12" x14ac:dyDescent="0.4">
      <c r="B168" s="2">
        <v>2001</v>
      </c>
      <c r="C168" s="9" t="s">
        <v>27</v>
      </c>
      <c r="D168" s="10" t="s">
        <v>28</v>
      </c>
      <c r="E168" s="10">
        <v>2</v>
      </c>
      <c r="F168" s="10">
        <v>1003</v>
      </c>
      <c r="G168" s="10"/>
      <c r="H168" s="3">
        <v>30001</v>
      </c>
      <c r="I168" s="7" t="s">
        <v>607</v>
      </c>
      <c r="J168" s="13">
        <v>90</v>
      </c>
      <c r="K168" s="13">
        <v>53400</v>
      </c>
    </row>
    <row r="169" spans="2:12" x14ac:dyDescent="0.4">
      <c r="B169" s="2">
        <v>2002</v>
      </c>
      <c r="C169" s="9" t="s">
        <v>27</v>
      </c>
      <c r="D169" s="10" t="s">
        <v>28</v>
      </c>
      <c r="E169" s="10">
        <v>2</v>
      </c>
      <c r="F169" s="10">
        <v>1003</v>
      </c>
      <c r="G169" s="10"/>
      <c r="H169" s="3">
        <v>30001</v>
      </c>
      <c r="I169" s="15" t="s">
        <v>608</v>
      </c>
      <c r="J169" s="13">
        <v>90</v>
      </c>
      <c r="K169" s="13">
        <v>103800</v>
      </c>
    </row>
    <row r="170" spans="2:12" x14ac:dyDescent="0.4">
      <c r="B170" s="2">
        <v>2003</v>
      </c>
      <c r="C170" s="10" t="s">
        <v>27</v>
      </c>
      <c r="D170" s="10" t="s">
        <v>28</v>
      </c>
      <c r="E170" s="10">
        <v>2</v>
      </c>
      <c r="F170" s="10">
        <v>1003</v>
      </c>
      <c r="G170" s="10"/>
      <c r="H170" s="3">
        <v>30001</v>
      </c>
      <c r="I170" s="15" t="s">
        <v>609</v>
      </c>
      <c r="J170" s="13">
        <v>90</v>
      </c>
      <c r="K170" s="13">
        <v>174240</v>
      </c>
    </row>
    <row r="171" spans="2:12" x14ac:dyDescent="0.4">
      <c r="B171" s="2">
        <v>2004</v>
      </c>
      <c r="C171" s="10" t="s">
        <v>27</v>
      </c>
      <c r="D171" s="10" t="s">
        <v>28</v>
      </c>
      <c r="E171" s="10">
        <v>2</v>
      </c>
      <c r="F171" s="10">
        <v>1003</v>
      </c>
      <c r="G171" s="10"/>
      <c r="H171" s="3">
        <v>30001</v>
      </c>
      <c r="I171" s="15" t="s">
        <v>610</v>
      </c>
      <c r="J171" s="13">
        <v>90</v>
      </c>
      <c r="K171" s="13">
        <v>316932</v>
      </c>
    </row>
    <row r="172" spans="2:12" x14ac:dyDescent="0.4">
      <c r="B172" s="2">
        <v>2005</v>
      </c>
      <c r="C172" s="9" t="s">
        <v>27</v>
      </c>
      <c r="D172" s="10" t="s">
        <v>28</v>
      </c>
      <c r="E172" s="10">
        <v>2</v>
      </c>
      <c r="F172" s="10">
        <v>1003</v>
      </c>
      <c r="G172" s="10"/>
      <c r="H172" s="3">
        <v>30001</v>
      </c>
      <c r="I172" s="15" t="s">
        <v>611</v>
      </c>
      <c r="J172" s="13">
        <v>90</v>
      </c>
      <c r="K172" s="13">
        <v>727200</v>
      </c>
    </row>
    <row r="173" spans="2:12" x14ac:dyDescent="0.4">
      <c r="B173" s="2">
        <v>2006</v>
      </c>
      <c r="C173" t="s">
        <v>27</v>
      </c>
      <c r="D173" s="10" t="s">
        <v>28</v>
      </c>
      <c r="E173" s="10">
        <v>2</v>
      </c>
      <c r="F173" s="10">
        <v>1003</v>
      </c>
      <c r="G173" s="10"/>
      <c r="H173" s="3">
        <v>30001</v>
      </c>
      <c r="I173" s="15" t="s">
        <v>612</v>
      </c>
      <c r="J173" s="13">
        <v>90</v>
      </c>
      <c r="K173" s="13">
        <v>2082816</v>
      </c>
    </row>
    <row r="174" spans="2:12" x14ac:dyDescent="0.4">
      <c r="B174" s="2">
        <v>2007</v>
      </c>
      <c r="C174" t="s">
        <v>27</v>
      </c>
      <c r="D174" s="10" t="s">
        <v>28</v>
      </c>
      <c r="E174" s="10">
        <v>2</v>
      </c>
      <c r="F174" s="10">
        <v>1003</v>
      </c>
      <c r="G174" s="10"/>
      <c r="H174" s="3">
        <v>30001</v>
      </c>
      <c r="I174" s="15" t="s">
        <v>613</v>
      </c>
      <c r="J174" s="13">
        <v>90</v>
      </c>
      <c r="K174" s="13">
        <v>3102528</v>
      </c>
    </row>
    <row r="175" spans="2:12" x14ac:dyDescent="0.4">
      <c r="B175" s="2">
        <v>2008</v>
      </c>
      <c r="C175" t="s">
        <v>27</v>
      </c>
      <c r="D175" s="10" t="s">
        <v>28</v>
      </c>
      <c r="E175" s="10">
        <v>2</v>
      </c>
      <c r="F175" s="10">
        <v>1003</v>
      </c>
      <c r="G175" s="10"/>
      <c r="H175" s="3">
        <v>30001</v>
      </c>
      <c r="I175" s="15" t="s">
        <v>614</v>
      </c>
      <c r="J175" s="13">
        <v>90</v>
      </c>
      <c r="K175" s="13">
        <v>5251740</v>
      </c>
    </row>
    <row r="176" spans="2:12" x14ac:dyDescent="0.4">
      <c r="B176" s="2">
        <v>2009</v>
      </c>
      <c r="C176" t="s">
        <v>27</v>
      </c>
      <c r="D176" s="10" t="s">
        <v>28</v>
      </c>
      <c r="E176" s="10">
        <v>2</v>
      </c>
      <c r="F176" s="10">
        <v>1003</v>
      </c>
      <c r="G176" s="10"/>
      <c r="H176" s="3">
        <v>30001</v>
      </c>
      <c r="I176" s="15" t="s">
        <v>615</v>
      </c>
      <c r="J176" s="13">
        <v>90</v>
      </c>
      <c r="K176" s="13">
        <v>6827262</v>
      </c>
    </row>
    <row r="177" spans="2:12" x14ac:dyDescent="0.4">
      <c r="B177" s="2">
        <v>2010</v>
      </c>
      <c r="C177" t="s">
        <v>27</v>
      </c>
      <c r="D177" s="10" t="s">
        <v>28</v>
      </c>
      <c r="E177" s="10">
        <v>2</v>
      </c>
      <c r="F177" s="10">
        <v>1003</v>
      </c>
      <c r="G177" s="10"/>
      <c r="H177" s="3">
        <v>30001</v>
      </c>
      <c r="I177" s="15" t="s">
        <v>616</v>
      </c>
      <c r="J177" s="13">
        <v>90</v>
      </c>
      <c r="K177" s="13">
        <v>9037080</v>
      </c>
    </row>
    <row r="178" spans="2:12" x14ac:dyDescent="0.4">
      <c r="B178" s="2">
        <v>2011</v>
      </c>
      <c r="C178" t="s">
        <v>27</v>
      </c>
      <c r="D178" s="10" t="s">
        <v>28</v>
      </c>
      <c r="E178" s="10">
        <v>2</v>
      </c>
      <c r="F178" s="10">
        <v>1003</v>
      </c>
      <c r="G178" s="10"/>
      <c r="H178" s="3">
        <v>30001</v>
      </c>
      <c r="I178" s="15" t="s">
        <v>617</v>
      </c>
      <c r="J178" s="13">
        <v>90</v>
      </c>
      <c r="K178" s="13">
        <v>27803520</v>
      </c>
    </row>
    <row r="179" spans="2:12" x14ac:dyDescent="0.4">
      <c r="B179" s="2">
        <v>2012</v>
      </c>
      <c r="C179" t="s">
        <v>27</v>
      </c>
      <c r="D179" s="10" t="s">
        <v>28</v>
      </c>
      <c r="E179" s="10">
        <v>2</v>
      </c>
      <c r="F179" s="10">
        <v>1003</v>
      </c>
      <c r="G179" s="10"/>
      <c r="H179" s="3">
        <v>30001</v>
      </c>
      <c r="I179" s="15" t="s">
        <v>618</v>
      </c>
      <c r="J179" s="13">
        <v>90</v>
      </c>
      <c r="K179" s="13">
        <v>35117280</v>
      </c>
    </row>
    <row r="180" spans="2:12" x14ac:dyDescent="0.4">
      <c r="B180" s="2">
        <v>2013</v>
      </c>
      <c r="C180" t="s">
        <v>27</v>
      </c>
      <c r="D180" s="10" t="s">
        <v>28</v>
      </c>
      <c r="E180" s="10">
        <v>2</v>
      </c>
      <c r="F180" s="10">
        <v>1003</v>
      </c>
      <c r="G180" s="10"/>
      <c r="H180" s="3">
        <v>30001</v>
      </c>
      <c r="I180" s="15" t="s">
        <v>619</v>
      </c>
      <c r="J180" s="13">
        <v>90</v>
      </c>
      <c r="K180" s="13">
        <v>45325440</v>
      </c>
    </row>
    <row r="181" spans="2:12" x14ac:dyDescent="0.4">
      <c r="B181" s="2">
        <v>2014</v>
      </c>
      <c r="C181" t="s">
        <v>27</v>
      </c>
      <c r="D181" s="10" t="s">
        <v>28</v>
      </c>
      <c r="E181" s="10">
        <v>2</v>
      </c>
      <c r="F181" s="10">
        <v>1003</v>
      </c>
      <c r="G181" s="10"/>
      <c r="H181" s="3">
        <v>30001</v>
      </c>
      <c r="I181" s="15" t="s">
        <v>620</v>
      </c>
      <c r="J181" s="13">
        <v>90</v>
      </c>
      <c r="K181" s="13">
        <v>47214000</v>
      </c>
    </row>
    <row r="182" spans="2:12" x14ac:dyDescent="0.4">
      <c r="B182" s="2">
        <v>2015</v>
      </c>
      <c r="C182" t="s">
        <v>27</v>
      </c>
      <c r="D182" s="10" t="s">
        <v>28</v>
      </c>
      <c r="E182" s="10">
        <v>2</v>
      </c>
      <c r="F182" s="10">
        <v>1003</v>
      </c>
      <c r="G182" s="10"/>
      <c r="H182" s="3">
        <v>30001</v>
      </c>
      <c r="I182" s="15" t="s">
        <v>621</v>
      </c>
      <c r="J182" s="13">
        <v>90</v>
      </c>
      <c r="K182" s="13">
        <v>54812250</v>
      </c>
    </row>
    <row r="183" spans="2:12" x14ac:dyDescent="0.4">
      <c r="B183" s="2">
        <v>2016</v>
      </c>
      <c r="C183" t="s">
        <v>27</v>
      </c>
      <c r="D183" s="10" t="s">
        <v>28</v>
      </c>
      <c r="E183" s="10">
        <v>2</v>
      </c>
      <c r="F183" s="10">
        <v>1003</v>
      </c>
      <c r="G183" s="10"/>
      <c r="H183" s="3">
        <v>30001</v>
      </c>
      <c r="I183" s="15" t="s">
        <v>622</v>
      </c>
      <c r="J183" s="13">
        <v>90</v>
      </c>
      <c r="K183" s="13">
        <v>71637750</v>
      </c>
    </row>
    <row r="184" spans="2:12" x14ac:dyDescent="0.4">
      <c r="B184" s="2">
        <v>2017</v>
      </c>
      <c r="C184" t="s">
        <v>27</v>
      </c>
      <c r="D184" s="10" t="s">
        <v>28</v>
      </c>
      <c r="E184" s="10">
        <v>2</v>
      </c>
      <c r="F184" s="10">
        <v>1003</v>
      </c>
      <c r="G184" s="10"/>
      <c r="H184" s="3">
        <v>30001</v>
      </c>
      <c r="I184" s="15" t="s">
        <v>623</v>
      </c>
      <c r="J184" s="13">
        <v>90</v>
      </c>
      <c r="K184" s="13">
        <v>82037250</v>
      </c>
    </row>
    <row r="185" spans="2:12" x14ac:dyDescent="0.4">
      <c r="B185" s="2">
        <v>2018</v>
      </c>
      <c r="C185" t="s">
        <v>27</v>
      </c>
      <c r="D185" s="10" t="s">
        <v>28</v>
      </c>
      <c r="E185" s="10">
        <v>2</v>
      </c>
      <c r="F185" s="10">
        <v>1003</v>
      </c>
      <c r="G185" s="10"/>
      <c r="H185" s="3">
        <v>30001</v>
      </c>
      <c r="I185" s="15" t="s">
        <v>624</v>
      </c>
      <c r="J185" s="13">
        <v>90</v>
      </c>
      <c r="K185" s="13">
        <v>91723499</v>
      </c>
    </row>
    <row r="186" spans="2:12" x14ac:dyDescent="0.4">
      <c r="B186" s="2">
        <v>2019</v>
      </c>
      <c r="C186" t="s">
        <v>27</v>
      </c>
      <c r="D186" s="10" t="s">
        <v>28</v>
      </c>
      <c r="E186" s="10">
        <v>2</v>
      </c>
      <c r="F186" s="10">
        <v>1003</v>
      </c>
      <c r="G186" s="10"/>
      <c r="H186" s="3">
        <v>30001</v>
      </c>
      <c r="I186" s="15" t="s">
        <v>625</v>
      </c>
      <c r="J186" s="13">
        <v>90</v>
      </c>
      <c r="K186" s="13">
        <v>99776250</v>
      </c>
    </row>
    <row r="187" spans="2:12" x14ac:dyDescent="0.4">
      <c r="B187" s="2">
        <v>2020</v>
      </c>
      <c r="C187" t="s">
        <v>27</v>
      </c>
      <c r="D187" s="10" t="s">
        <v>28</v>
      </c>
      <c r="E187" s="10">
        <v>2</v>
      </c>
      <c r="F187" s="10">
        <v>1003</v>
      </c>
      <c r="G187" s="10"/>
      <c r="H187" s="3">
        <v>30001</v>
      </c>
      <c r="I187" s="15" t="s">
        <v>626</v>
      </c>
      <c r="J187" s="13">
        <v>90</v>
      </c>
      <c r="K187" s="13">
        <v>118948800</v>
      </c>
    </row>
    <row r="188" spans="2:12" x14ac:dyDescent="0.4">
      <c r="B188" s="2">
        <v>2021</v>
      </c>
      <c r="C188" t="s">
        <v>27</v>
      </c>
      <c r="D188" s="10" t="s">
        <v>28</v>
      </c>
      <c r="E188" s="10">
        <v>2</v>
      </c>
      <c r="F188" s="10">
        <v>1003</v>
      </c>
      <c r="G188" s="10"/>
      <c r="H188" s="3">
        <v>30001</v>
      </c>
      <c r="I188" s="15" t="s">
        <v>627</v>
      </c>
      <c r="J188" s="13">
        <v>90</v>
      </c>
      <c r="K188" s="13"/>
      <c r="L188" s="1">
        <v>40001</v>
      </c>
    </row>
    <row r="189" spans="2:12" x14ac:dyDescent="0.4">
      <c r="B189" s="2">
        <v>2022</v>
      </c>
      <c r="C189" t="s">
        <v>27</v>
      </c>
      <c r="D189" s="10" t="s">
        <v>28</v>
      </c>
      <c r="E189" s="10">
        <v>2</v>
      </c>
      <c r="F189" s="10">
        <v>1003</v>
      </c>
      <c r="G189" s="10"/>
      <c r="H189" s="3">
        <v>30001</v>
      </c>
      <c r="I189" s="15" t="s">
        <v>628</v>
      </c>
      <c r="J189" s="13">
        <v>90</v>
      </c>
      <c r="K189" s="13"/>
      <c r="L189" s="1">
        <v>40002</v>
      </c>
    </row>
    <row r="190" spans="2:12" x14ac:dyDescent="0.4">
      <c r="B190" s="2">
        <v>2023</v>
      </c>
      <c r="C190" t="s">
        <v>27</v>
      </c>
      <c r="D190" s="10" t="s">
        <v>28</v>
      </c>
      <c r="E190" s="10">
        <v>2</v>
      </c>
      <c r="F190" s="10">
        <v>1003</v>
      </c>
      <c r="G190" s="10"/>
      <c r="H190" s="3">
        <v>30001</v>
      </c>
      <c r="I190" s="16" t="s">
        <v>629</v>
      </c>
      <c r="J190" s="13">
        <v>90</v>
      </c>
      <c r="K190" s="13"/>
      <c r="L190" s="1">
        <v>40003</v>
      </c>
    </row>
    <row r="191" spans="2:12" x14ac:dyDescent="0.4">
      <c r="B191" s="2">
        <v>2024</v>
      </c>
      <c r="C191" t="s">
        <v>27</v>
      </c>
      <c r="D191" s="10" t="s">
        <v>28</v>
      </c>
      <c r="E191" s="10">
        <v>2</v>
      </c>
      <c r="F191" s="10">
        <v>1003</v>
      </c>
      <c r="G191" s="10"/>
      <c r="H191" s="3">
        <v>30001</v>
      </c>
      <c r="I191" s="16" t="s">
        <v>630</v>
      </c>
      <c r="J191" s="13">
        <v>90</v>
      </c>
      <c r="K191" s="13"/>
      <c r="L191" s="1">
        <v>40004</v>
      </c>
    </row>
    <row r="192" spans="2:12" x14ac:dyDescent="0.4">
      <c r="B192" s="2">
        <v>2025</v>
      </c>
      <c r="C192" t="s">
        <v>27</v>
      </c>
      <c r="D192" s="10" t="s">
        <v>28</v>
      </c>
      <c r="E192" s="10">
        <v>2</v>
      </c>
      <c r="F192" s="10">
        <v>1003</v>
      </c>
      <c r="G192" s="10"/>
      <c r="H192" s="3">
        <v>30001</v>
      </c>
      <c r="I192" s="16" t="s">
        <v>631</v>
      </c>
      <c r="J192" s="13">
        <v>90</v>
      </c>
      <c r="K192" s="13"/>
      <c r="L192" s="1">
        <v>40005</v>
      </c>
    </row>
    <row r="193" spans="2:13" x14ac:dyDescent="0.4">
      <c r="B193" s="2">
        <v>2026</v>
      </c>
      <c r="C193" t="s">
        <v>27</v>
      </c>
      <c r="D193" s="10" t="s">
        <v>28</v>
      </c>
      <c r="E193" s="10">
        <v>2</v>
      </c>
      <c r="F193" s="10">
        <v>1003</v>
      </c>
      <c r="G193" s="10"/>
      <c r="H193" s="3">
        <v>30001</v>
      </c>
      <c r="I193" s="16" t="s">
        <v>632</v>
      </c>
      <c r="J193" s="13">
        <v>90</v>
      </c>
      <c r="K193" s="13"/>
      <c r="L193" s="1">
        <v>40006</v>
      </c>
    </row>
    <row r="194" spans="2:13" x14ac:dyDescent="0.4">
      <c r="B194" s="2">
        <v>2027</v>
      </c>
      <c r="C194" t="s">
        <v>27</v>
      </c>
      <c r="D194" s="10" t="s">
        <v>28</v>
      </c>
      <c r="E194" s="10">
        <v>2</v>
      </c>
      <c r="F194" s="10">
        <v>1003</v>
      </c>
      <c r="G194" s="10"/>
      <c r="H194" s="3">
        <v>30001</v>
      </c>
      <c r="I194" s="16" t="s">
        <v>633</v>
      </c>
      <c r="J194" s="13">
        <v>90</v>
      </c>
      <c r="K194" s="13"/>
      <c r="L194" s="1">
        <v>40007</v>
      </c>
    </row>
    <row r="195" spans="2:13" x14ac:dyDescent="0.4">
      <c r="B195" s="2">
        <v>2028</v>
      </c>
      <c r="C195" t="s">
        <v>27</v>
      </c>
      <c r="D195" s="10" t="s">
        <v>28</v>
      </c>
      <c r="E195" s="10">
        <v>2</v>
      </c>
      <c r="F195" s="10">
        <v>1003</v>
      </c>
      <c r="G195" s="10"/>
      <c r="H195" s="3">
        <v>30001</v>
      </c>
      <c r="I195" s="16" t="s">
        <v>634</v>
      </c>
      <c r="J195" s="13">
        <v>90</v>
      </c>
      <c r="K195" s="13"/>
      <c r="L195" s="1">
        <v>40008</v>
      </c>
    </row>
    <row r="196" spans="2:13" x14ac:dyDescent="0.4">
      <c r="B196" s="2">
        <v>2029</v>
      </c>
      <c r="C196" t="s">
        <v>27</v>
      </c>
      <c r="D196" s="10" t="s">
        <v>28</v>
      </c>
      <c r="E196" s="10">
        <v>2</v>
      </c>
      <c r="F196" s="10">
        <v>1003</v>
      </c>
      <c r="G196" s="10"/>
      <c r="H196" s="3">
        <v>30001</v>
      </c>
      <c r="I196" s="16" t="s">
        <v>635</v>
      </c>
      <c r="J196" s="13">
        <v>90</v>
      </c>
      <c r="K196" s="13"/>
      <c r="L196" s="1">
        <v>40009</v>
      </c>
    </row>
    <row r="197" spans="2:13" x14ac:dyDescent="0.4">
      <c r="B197" s="2">
        <v>2030</v>
      </c>
      <c r="C197" t="s">
        <v>27</v>
      </c>
      <c r="D197" s="10" t="s">
        <v>28</v>
      </c>
      <c r="E197" s="10">
        <v>2</v>
      </c>
      <c r="F197" s="10">
        <v>1003</v>
      </c>
      <c r="G197" s="10"/>
      <c r="H197" s="3">
        <v>30001</v>
      </c>
      <c r="I197" s="16" t="s">
        <v>636</v>
      </c>
      <c r="J197" s="13">
        <v>90</v>
      </c>
      <c r="K197" s="13"/>
      <c r="L197" s="1">
        <v>40010</v>
      </c>
    </row>
    <row r="198" spans="2:13" x14ac:dyDescent="0.4">
      <c r="B198" s="2">
        <v>2031</v>
      </c>
      <c r="C198" t="s">
        <v>27</v>
      </c>
      <c r="D198" s="10" t="s">
        <v>28</v>
      </c>
      <c r="E198" s="10">
        <v>2</v>
      </c>
      <c r="F198" s="10">
        <v>1003</v>
      </c>
      <c r="G198" s="10"/>
      <c r="H198" s="3">
        <v>30001</v>
      </c>
      <c r="I198" s="16" t="s">
        <v>637</v>
      </c>
      <c r="J198" s="13">
        <v>90</v>
      </c>
      <c r="K198" s="13"/>
      <c r="L198" s="1">
        <v>40011</v>
      </c>
    </row>
    <row r="199" spans="2:13" x14ac:dyDescent="0.4">
      <c r="B199" s="2">
        <v>2032</v>
      </c>
      <c r="C199" t="s">
        <v>27</v>
      </c>
      <c r="D199" s="10" t="s">
        <v>28</v>
      </c>
      <c r="E199" s="10">
        <v>2</v>
      </c>
      <c r="F199" s="10">
        <v>1003</v>
      </c>
      <c r="G199" s="10"/>
      <c r="H199" s="3">
        <v>30001</v>
      </c>
      <c r="I199" s="16" t="s">
        <v>638</v>
      </c>
      <c r="J199" s="13">
        <v>90</v>
      </c>
      <c r="K199" s="13"/>
      <c r="L199" s="1">
        <v>40012</v>
      </c>
    </row>
    <row r="200" spans="2:13" x14ac:dyDescent="0.4">
      <c r="B200" s="2">
        <v>2033</v>
      </c>
      <c r="C200" t="s">
        <v>27</v>
      </c>
      <c r="D200" s="10" t="s">
        <v>28</v>
      </c>
      <c r="E200" s="10">
        <v>2</v>
      </c>
      <c r="F200" s="10">
        <v>1003</v>
      </c>
      <c r="G200" s="10"/>
      <c r="H200" s="3">
        <v>30001</v>
      </c>
      <c r="I200" s="16" t="s">
        <v>639</v>
      </c>
      <c r="J200" s="13">
        <v>90</v>
      </c>
      <c r="K200" s="13"/>
      <c r="L200" s="1">
        <v>40013</v>
      </c>
    </row>
    <row r="201" spans="2:13" x14ac:dyDescent="0.4">
      <c r="B201" s="2">
        <v>2034</v>
      </c>
      <c r="C201" t="s">
        <v>27</v>
      </c>
      <c r="D201" s="10" t="s">
        <v>28</v>
      </c>
      <c r="E201" s="10">
        <v>2</v>
      </c>
      <c r="F201" s="10">
        <v>1003</v>
      </c>
      <c r="G201" s="10"/>
      <c r="H201" s="3">
        <v>30001</v>
      </c>
      <c r="I201" s="16" t="s">
        <v>640</v>
      </c>
      <c r="J201" s="13">
        <v>90</v>
      </c>
      <c r="K201" s="13"/>
      <c r="L201" s="1">
        <v>40014</v>
      </c>
    </row>
    <row r="202" spans="2:13" x14ac:dyDescent="0.4">
      <c r="B202" s="2">
        <v>2035</v>
      </c>
      <c r="C202" t="s">
        <v>27</v>
      </c>
      <c r="D202" s="10" t="s">
        <v>28</v>
      </c>
      <c r="E202" s="10">
        <v>2</v>
      </c>
      <c r="F202" s="10">
        <v>1003</v>
      </c>
      <c r="G202" s="10"/>
      <c r="H202" s="3">
        <v>30001</v>
      </c>
      <c r="I202" s="16" t="s">
        <v>641</v>
      </c>
      <c r="J202" s="13">
        <v>90</v>
      </c>
      <c r="K202" s="13"/>
      <c r="L202" s="1">
        <v>40015</v>
      </c>
    </row>
    <row r="203" spans="2:13" x14ac:dyDescent="0.4">
      <c r="B203" s="2">
        <v>2036</v>
      </c>
      <c r="C203" t="s">
        <v>27</v>
      </c>
      <c r="D203" s="10" t="s">
        <v>28</v>
      </c>
      <c r="E203" s="10">
        <v>2</v>
      </c>
      <c r="F203" s="10">
        <v>1003</v>
      </c>
      <c r="G203" s="10"/>
      <c r="H203" s="3">
        <v>30001</v>
      </c>
      <c r="I203" s="16" t="s">
        <v>579</v>
      </c>
      <c r="J203" s="13">
        <v>90</v>
      </c>
      <c r="K203" s="13"/>
      <c r="L203" s="1">
        <v>40016</v>
      </c>
    </row>
    <row r="204" spans="2:13" x14ac:dyDescent="0.4">
      <c r="B204" s="2">
        <v>2037</v>
      </c>
      <c r="C204" t="s">
        <v>27</v>
      </c>
      <c r="D204" s="10" t="s">
        <v>28</v>
      </c>
      <c r="E204" s="10">
        <v>2</v>
      </c>
      <c r="F204" s="10">
        <v>1003</v>
      </c>
      <c r="G204" s="10"/>
      <c r="H204" s="3">
        <v>30001</v>
      </c>
      <c r="I204" s="16" t="s">
        <v>580</v>
      </c>
      <c r="J204" s="13">
        <v>90</v>
      </c>
      <c r="K204" s="13"/>
      <c r="L204" s="1">
        <v>40017</v>
      </c>
    </row>
    <row r="205" spans="2:13" x14ac:dyDescent="0.4">
      <c r="B205" s="2">
        <v>2038</v>
      </c>
      <c r="C205" t="s">
        <v>27</v>
      </c>
      <c r="D205" s="10" t="s">
        <v>28</v>
      </c>
      <c r="E205" s="10">
        <v>2</v>
      </c>
      <c r="F205" s="10">
        <v>1003</v>
      </c>
      <c r="G205" s="10"/>
      <c r="H205" s="3">
        <v>30001</v>
      </c>
      <c r="I205" s="16" t="s">
        <v>581</v>
      </c>
      <c r="J205" s="13">
        <v>90</v>
      </c>
      <c r="K205" s="13"/>
      <c r="L205" s="1">
        <v>40018</v>
      </c>
    </row>
    <row r="206" spans="2:13" x14ac:dyDescent="0.4">
      <c r="B206" s="2">
        <v>2039</v>
      </c>
      <c r="C206" t="s">
        <v>27</v>
      </c>
      <c r="D206" s="10" t="s">
        <v>28</v>
      </c>
      <c r="E206" s="10">
        <v>2</v>
      </c>
      <c r="F206" s="10">
        <v>1003</v>
      </c>
      <c r="G206" s="10"/>
      <c r="H206" s="3">
        <v>30001</v>
      </c>
      <c r="I206" s="16" t="s">
        <v>642</v>
      </c>
      <c r="J206" s="13">
        <v>90</v>
      </c>
      <c r="K206" s="13"/>
      <c r="L206" s="1">
        <v>40019</v>
      </c>
    </row>
    <row r="207" spans="2:13" x14ac:dyDescent="0.4">
      <c r="B207" s="2">
        <v>2040</v>
      </c>
      <c r="C207" t="s">
        <v>27</v>
      </c>
      <c r="D207" s="10" t="s">
        <v>28</v>
      </c>
      <c r="E207" s="10">
        <v>2</v>
      </c>
      <c r="F207" s="10">
        <v>1003</v>
      </c>
      <c r="G207" s="10"/>
      <c r="H207" s="3">
        <v>30001</v>
      </c>
      <c r="I207" s="16" t="s">
        <v>582</v>
      </c>
      <c r="J207" s="13">
        <v>90</v>
      </c>
      <c r="K207" s="13"/>
      <c r="L207" s="1">
        <v>40020</v>
      </c>
    </row>
    <row r="208" spans="2:13" ht="13.5" customHeight="1" x14ac:dyDescent="0.4">
      <c r="B208" s="2">
        <v>3001</v>
      </c>
      <c r="C208" s="6" t="s">
        <v>33</v>
      </c>
      <c r="D208" s="10" t="s">
        <v>34</v>
      </c>
      <c r="E208" s="10">
        <v>1</v>
      </c>
      <c r="F208" s="10">
        <v>1004</v>
      </c>
      <c r="G208" s="10">
        <v>1</v>
      </c>
      <c r="H208" s="3">
        <v>40001</v>
      </c>
      <c r="I208" s="4" t="s">
        <v>587</v>
      </c>
      <c r="J208" s="13">
        <v>91</v>
      </c>
      <c r="K208" s="13">
        <v>200000</v>
      </c>
      <c r="L208" t="s">
        <v>35</v>
      </c>
      <c r="M208" t="s">
        <v>206</v>
      </c>
    </row>
    <row r="209" spans="2:13" x14ac:dyDescent="0.4">
      <c r="B209" s="2">
        <v>3002</v>
      </c>
      <c r="C209" s="6" t="s">
        <v>33</v>
      </c>
      <c r="D209" s="10" t="s">
        <v>34</v>
      </c>
      <c r="E209" s="10">
        <v>1</v>
      </c>
      <c r="F209" s="10">
        <v>1004</v>
      </c>
      <c r="G209" s="10">
        <v>2</v>
      </c>
      <c r="H209" s="3">
        <v>40001</v>
      </c>
      <c r="I209" s="4" t="s">
        <v>588</v>
      </c>
      <c r="J209" s="13">
        <v>91</v>
      </c>
      <c r="K209" s="13">
        <v>400000</v>
      </c>
      <c r="L209" t="s">
        <v>36</v>
      </c>
      <c r="M209" t="s">
        <v>207</v>
      </c>
    </row>
    <row r="210" spans="2:13" x14ac:dyDescent="0.4">
      <c r="B210" s="2">
        <v>3003</v>
      </c>
      <c r="C210" s="6" t="s">
        <v>33</v>
      </c>
      <c r="D210" s="10" t="s">
        <v>34</v>
      </c>
      <c r="E210" s="10">
        <v>1</v>
      </c>
      <c r="F210" s="10">
        <v>1004</v>
      </c>
      <c r="G210" s="10">
        <v>3</v>
      </c>
      <c r="H210" s="3">
        <v>40001</v>
      </c>
      <c r="I210" s="4" t="s">
        <v>589</v>
      </c>
      <c r="J210" s="13">
        <v>91</v>
      </c>
      <c r="K210" s="13">
        <v>600000</v>
      </c>
      <c r="L210" t="s">
        <v>37</v>
      </c>
      <c r="M210" t="s">
        <v>208</v>
      </c>
    </row>
    <row r="211" spans="2:13" x14ac:dyDescent="0.4">
      <c r="B211" s="2">
        <v>3004</v>
      </c>
      <c r="C211" s="6" t="s">
        <v>33</v>
      </c>
      <c r="D211" s="10" t="s">
        <v>34</v>
      </c>
      <c r="E211" s="10">
        <v>1</v>
      </c>
      <c r="F211" s="10">
        <v>1004</v>
      </c>
      <c r="G211" s="10">
        <v>4</v>
      </c>
      <c r="H211" s="3">
        <v>40001</v>
      </c>
      <c r="I211" s="4" t="s">
        <v>590</v>
      </c>
      <c r="J211" s="13">
        <v>91</v>
      </c>
      <c r="K211" s="13">
        <v>800000</v>
      </c>
      <c r="L211" t="s">
        <v>38</v>
      </c>
      <c r="M211" t="s">
        <v>209</v>
      </c>
    </row>
    <row r="212" spans="2:13" x14ac:dyDescent="0.4">
      <c r="B212" s="2">
        <v>3005</v>
      </c>
      <c r="C212" s="6" t="s">
        <v>33</v>
      </c>
      <c r="D212" s="10" t="s">
        <v>34</v>
      </c>
      <c r="E212" s="10">
        <v>1</v>
      </c>
      <c r="F212" s="10">
        <v>1004</v>
      </c>
      <c r="G212" s="10">
        <v>5</v>
      </c>
      <c r="H212" s="3">
        <v>40001</v>
      </c>
      <c r="I212" s="4" t="s">
        <v>591</v>
      </c>
      <c r="J212" s="13">
        <v>91</v>
      </c>
      <c r="K212" s="13">
        <v>1000000</v>
      </c>
      <c r="L212" t="s">
        <v>39</v>
      </c>
      <c r="M212" t="s">
        <v>210</v>
      </c>
    </row>
    <row r="213" spans="2:13" x14ac:dyDescent="0.4">
      <c r="B213" s="2">
        <v>3006</v>
      </c>
      <c r="C213" s="6" t="s">
        <v>33</v>
      </c>
      <c r="D213" s="10" t="s">
        <v>34</v>
      </c>
      <c r="E213" s="10">
        <v>1</v>
      </c>
      <c r="F213" s="10">
        <v>1004</v>
      </c>
      <c r="G213" s="10">
        <v>6</v>
      </c>
      <c r="H213" s="3">
        <v>40001</v>
      </c>
      <c r="I213" s="4" t="s">
        <v>592</v>
      </c>
      <c r="J213" s="13">
        <v>91</v>
      </c>
      <c r="K213" s="13">
        <v>1200000</v>
      </c>
      <c r="L213" t="s">
        <v>40</v>
      </c>
      <c r="M213" t="s">
        <v>211</v>
      </c>
    </row>
    <row r="214" spans="2:13" x14ac:dyDescent="0.4">
      <c r="B214" s="2">
        <v>3007</v>
      </c>
      <c r="C214" s="6" t="s">
        <v>33</v>
      </c>
      <c r="D214" s="10" t="s">
        <v>34</v>
      </c>
      <c r="E214" s="10">
        <v>1</v>
      </c>
      <c r="F214" s="10">
        <v>1004</v>
      </c>
      <c r="G214" s="10">
        <v>7</v>
      </c>
      <c r="H214" s="3">
        <v>40001</v>
      </c>
      <c r="I214" s="4" t="s">
        <v>593</v>
      </c>
      <c r="J214" s="13">
        <v>91</v>
      </c>
      <c r="K214" s="13">
        <v>1400000</v>
      </c>
      <c r="L214" t="s">
        <v>41</v>
      </c>
      <c r="M214" t="s">
        <v>212</v>
      </c>
    </row>
    <row r="215" spans="2:13" x14ac:dyDescent="0.4">
      <c r="B215" s="2">
        <v>3008</v>
      </c>
      <c r="C215" s="6" t="s">
        <v>33</v>
      </c>
      <c r="D215" s="10" t="s">
        <v>34</v>
      </c>
      <c r="E215" s="10">
        <v>1</v>
      </c>
      <c r="F215" s="10">
        <v>1004</v>
      </c>
      <c r="G215" s="10">
        <v>8</v>
      </c>
      <c r="H215" s="3">
        <v>40001</v>
      </c>
      <c r="I215" s="4" t="s">
        <v>594</v>
      </c>
      <c r="J215" s="13">
        <v>91</v>
      </c>
      <c r="K215" s="13">
        <v>1600000</v>
      </c>
      <c r="L215" t="s">
        <v>42</v>
      </c>
      <c r="M215" t="s">
        <v>213</v>
      </c>
    </row>
    <row r="216" spans="2:13" x14ac:dyDescent="0.4">
      <c r="B216" s="2">
        <v>3009</v>
      </c>
      <c r="C216" s="6" t="s">
        <v>33</v>
      </c>
      <c r="D216" s="10" t="s">
        <v>34</v>
      </c>
      <c r="E216" s="10">
        <v>1</v>
      </c>
      <c r="F216" s="10">
        <v>1004</v>
      </c>
      <c r="G216" s="10">
        <v>9</v>
      </c>
      <c r="H216" s="3">
        <v>40001</v>
      </c>
      <c r="I216" s="4" t="s">
        <v>595</v>
      </c>
      <c r="J216" s="13">
        <v>91</v>
      </c>
      <c r="K216" s="13">
        <v>1800000</v>
      </c>
      <c r="L216" t="s">
        <v>43</v>
      </c>
      <c r="M216" t="s">
        <v>214</v>
      </c>
    </row>
    <row r="217" spans="2:13" x14ac:dyDescent="0.4">
      <c r="B217" s="2">
        <v>3010</v>
      </c>
      <c r="C217" s="6" t="s">
        <v>33</v>
      </c>
      <c r="D217" s="10" t="s">
        <v>34</v>
      </c>
      <c r="E217" s="10">
        <v>1</v>
      </c>
      <c r="F217" s="10">
        <v>1004</v>
      </c>
      <c r="G217" s="10">
        <v>10</v>
      </c>
      <c r="H217" s="3">
        <v>40001</v>
      </c>
      <c r="I217" s="4" t="s">
        <v>596</v>
      </c>
      <c r="J217" s="13">
        <v>91</v>
      </c>
      <c r="K217" s="13">
        <v>2000000</v>
      </c>
      <c r="L217" t="s">
        <v>44</v>
      </c>
      <c r="M217" t="s">
        <v>215</v>
      </c>
    </row>
    <row r="218" spans="2:13" x14ac:dyDescent="0.4">
      <c r="B218" s="2">
        <v>3011</v>
      </c>
      <c r="C218" s="6" t="s">
        <v>33</v>
      </c>
      <c r="D218" s="10" t="s">
        <v>34</v>
      </c>
      <c r="E218" s="10">
        <v>1</v>
      </c>
      <c r="F218" s="10">
        <v>1004</v>
      </c>
      <c r="G218" s="10">
        <v>11</v>
      </c>
      <c r="H218" s="3">
        <v>40001</v>
      </c>
      <c r="I218" s="4" t="s">
        <v>597</v>
      </c>
      <c r="J218" s="13">
        <v>91</v>
      </c>
      <c r="K218" s="13">
        <v>2200000</v>
      </c>
      <c r="L218" t="s">
        <v>45</v>
      </c>
      <c r="M218" t="s">
        <v>216</v>
      </c>
    </row>
    <row r="219" spans="2:13" x14ac:dyDescent="0.4">
      <c r="B219" s="2">
        <v>3012</v>
      </c>
      <c r="C219" s="6" t="s">
        <v>33</v>
      </c>
      <c r="D219" s="10" t="s">
        <v>34</v>
      </c>
      <c r="E219" s="10">
        <v>1</v>
      </c>
      <c r="F219" s="10">
        <v>1004</v>
      </c>
      <c r="G219" s="10">
        <v>12</v>
      </c>
      <c r="H219" s="3">
        <v>40001</v>
      </c>
      <c r="I219" s="4" t="s">
        <v>598</v>
      </c>
      <c r="J219" s="13">
        <v>91</v>
      </c>
      <c r="K219" s="13">
        <v>2400000</v>
      </c>
      <c r="L219" t="s">
        <v>46</v>
      </c>
      <c r="M219" t="s">
        <v>217</v>
      </c>
    </row>
    <row r="220" spans="2:13" x14ac:dyDescent="0.4">
      <c r="B220" s="2">
        <v>3013</v>
      </c>
      <c r="C220" s="6" t="s">
        <v>33</v>
      </c>
      <c r="D220" s="10" t="s">
        <v>34</v>
      </c>
      <c r="E220" s="10">
        <v>1</v>
      </c>
      <c r="F220" s="10">
        <v>1004</v>
      </c>
      <c r="G220" s="10">
        <v>13</v>
      </c>
      <c r="H220" s="3">
        <v>40001</v>
      </c>
      <c r="I220" s="4" t="s">
        <v>599</v>
      </c>
      <c r="J220" s="13">
        <v>91</v>
      </c>
      <c r="K220" s="13">
        <v>2600000</v>
      </c>
      <c r="L220" t="s">
        <v>47</v>
      </c>
      <c r="M220" t="s">
        <v>218</v>
      </c>
    </row>
    <row r="221" spans="2:13" x14ac:dyDescent="0.4">
      <c r="B221" s="2">
        <v>3014</v>
      </c>
      <c r="C221" s="6" t="s">
        <v>33</v>
      </c>
      <c r="D221" s="10" t="s">
        <v>34</v>
      </c>
      <c r="E221" s="10">
        <v>1</v>
      </c>
      <c r="F221" s="10">
        <v>1004</v>
      </c>
      <c r="G221" s="10">
        <v>14</v>
      </c>
      <c r="H221" s="3">
        <v>40001</v>
      </c>
      <c r="I221" s="4" t="s">
        <v>600</v>
      </c>
      <c r="J221" s="13">
        <v>91</v>
      </c>
      <c r="K221" s="13">
        <v>2800000</v>
      </c>
      <c r="L221" t="s">
        <v>48</v>
      </c>
      <c r="M221" t="s">
        <v>219</v>
      </c>
    </row>
    <row r="222" spans="2:13" x14ac:dyDescent="0.4">
      <c r="B222" s="2">
        <v>3015</v>
      </c>
      <c r="C222" s="6" t="s">
        <v>33</v>
      </c>
      <c r="D222" s="10" t="s">
        <v>34</v>
      </c>
      <c r="E222" s="10">
        <v>1</v>
      </c>
      <c r="F222" s="10">
        <v>1004</v>
      </c>
      <c r="G222" s="10">
        <v>15</v>
      </c>
      <c r="H222" s="3">
        <v>40001</v>
      </c>
      <c r="I222" s="4" t="s">
        <v>601</v>
      </c>
      <c r="J222" s="13">
        <v>91</v>
      </c>
      <c r="K222" s="13">
        <v>3000000</v>
      </c>
      <c r="L222" t="s">
        <v>49</v>
      </c>
      <c r="M222" t="s">
        <v>220</v>
      </c>
    </row>
    <row r="223" spans="2:13" x14ac:dyDescent="0.4">
      <c r="B223" s="2">
        <v>3016</v>
      </c>
      <c r="C223" s="6" t="s">
        <v>33</v>
      </c>
      <c r="D223" s="10" t="s">
        <v>34</v>
      </c>
      <c r="E223" s="10">
        <v>1</v>
      </c>
      <c r="F223" s="10">
        <v>1004</v>
      </c>
      <c r="G223" s="10">
        <v>16</v>
      </c>
      <c r="H223" s="3">
        <v>40001</v>
      </c>
      <c r="I223" s="4" t="s">
        <v>602</v>
      </c>
      <c r="J223" s="13">
        <v>91</v>
      </c>
      <c r="K223" s="13">
        <v>3200000</v>
      </c>
      <c r="L223" t="s">
        <v>50</v>
      </c>
      <c r="M223" t="s">
        <v>221</v>
      </c>
    </row>
    <row r="224" spans="2:13" x14ac:dyDescent="0.4">
      <c r="B224" s="2">
        <v>3017</v>
      </c>
      <c r="C224" s="6" t="s">
        <v>33</v>
      </c>
      <c r="D224" s="10" t="s">
        <v>34</v>
      </c>
      <c r="E224" s="10">
        <v>1</v>
      </c>
      <c r="F224" s="10">
        <v>1004</v>
      </c>
      <c r="G224" s="10">
        <v>17</v>
      </c>
      <c r="H224" s="3">
        <v>40001</v>
      </c>
      <c r="I224" s="4" t="s">
        <v>603</v>
      </c>
      <c r="J224" s="13">
        <v>91</v>
      </c>
      <c r="K224" s="13">
        <v>3400000</v>
      </c>
      <c r="L224" t="s">
        <v>51</v>
      </c>
      <c r="M224" t="s">
        <v>222</v>
      </c>
    </row>
    <row r="225" spans="2:13" x14ac:dyDescent="0.4">
      <c r="B225" s="2">
        <v>3018</v>
      </c>
      <c r="C225" s="6" t="s">
        <v>33</v>
      </c>
      <c r="D225" s="10" t="s">
        <v>34</v>
      </c>
      <c r="E225" s="10">
        <v>1</v>
      </c>
      <c r="F225" s="10">
        <v>1004</v>
      </c>
      <c r="G225" s="10">
        <v>18</v>
      </c>
      <c r="H225" s="3">
        <v>40001</v>
      </c>
      <c r="I225" s="4" t="s">
        <v>604</v>
      </c>
      <c r="J225" s="13">
        <v>91</v>
      </c>
      <c r="K225" s="13">
        <v>3600000</v>
      </c>
      <c r="L225" t="s">
        <v>52</v>
      </c>
      <c r="M225" t="s">
        <v>223</v>
      </c>
    </row>
    <row r="226" spans="2:13" x14ac:dyDescent="0.4">
      <c r="B226" s="2">
        <v>3019</v>
      </c>
      <c r="C226" s="6" t="s">
        <v>33</v>
      </c>
      <c r="D226" s="10" t="s">
        <v>34</v>
      </c>
      <c r="E226" s="10">
        <v>1</v>
      </c>
      <c r="F226" s="10">
        <v>1004</v>
      </c>
      <c r="G226" s="10">
        <v>19</v>
      </c>
      <c r="H226" s="3">
        <v>40001</v>
      </c>
      <c r="I226" s="4" t="s">
        <v>605</v>
      </c>
      <c r="J226" s="13">
        <v>91</v>
      </c>
      <c r="K226" s="13">
        <v>3800000</v>
      </c>
      <c r="L226" t="s">
        <v>53</v>
      </c>
      <c r="M226" t="s">
        <v>224</v>
      </c>
    </row>
    <row r="227" spans="2:13" x14ac:dyDescent="0.4">
      <c r="B227" s="2">
        <v>3020</v>
      </c>
      <c r="C227" s="6" t="s">
        <v>33</v>
      </c>
      <c r="D227" s="10" t="s">
        <v>34</v>
      </c>
      <c r="E227" s="10">
        <v>1</v>
      </c>
      <c r="F227" s="10">
        <v>1004</v>
      </c>
      <c r="G227" s="10">
        <v>20</v>
      </c>
      <c r="H227" s="3">
        <v>40001</v>
      </c>
      <c r="I227" s="4" t="s">
        <v>606</v>
      </c>
      <c r="J227" s="13">
        <v>91</v>
      </c>
      <c r="K227" s="13">
        <v>4000000</v>
      </c>
      <c r="L227" t="s">
        <v>54</v>
      </c>
      <c r="M227" t="s">
        <v>225</v>
      </c>
    </row>
    <row r="228" spans="2:13" x14ac:dyDescent="0.4">
      <c r="B228" s="2">
        <v>3101</v>
      </c>
      <c r="C228" s="6" t="s">
        <v>55</v>
      </c>
      <c r="D228" s="10" t="s">
        <v>34</v>
      </c>
      <c r="E228" s="10">
        <v>1</v>
      </c>
      <c r="F228" s="10">
        <v>1004</v>
      </c>
      <c r="G228" s="10">
        <f t="shared" ref="G228:G237" si="2">G208</f>
        <v>1</v>
      </c>
      <c r="H228" s="3">
        <v>40001</v>
      </c>
      <c r="I228" s="4" t="s">
        <v>587</v>
      </c>
      <c r="J228" s="13">
        <v>91</v>
      </c>
      <c r="K228" s="13">
        <v>200000</v>
      </c>
      <c r="L228" t="s">
        <v>56</v>
      </c>
      <c r="M228" t="s">
        <v>226</v>
      </c>
    </row>
    <row r="229" spans="2:13" x14ac:dyDescent="0.4">
      <c r="B229" s="2">
        <v>3102</v>
      </c>
      <c r="C229" s="6" t="s">
        <v>55</v>
      </c>
      <c r="D229" s="10" t="s">
        <v>34</v>
      </c>
      <c r="E229" s="10">
        <v>1</v>
      </c>
      <c r="F229" s="10">
        <v>1004</v>
      </c>
      <c r="G229" s="10">
        <f t="shared" si="2"/>
        <v>2</v>
      </c>
      <c r="H229" s="3">
        <v>40001</v>
      </c>
      <c r="I229" s="4" t="s">
        <v>588</v>
      </c>
      <c r="J229" s="13">
        <v>91</v>
      </c>
      <c r="K229" s="13">
        <v>400000</v>
      </c>
      <c r="L229" t="s">
        <v>57</v>
      </c>
      <c r="M229" t="s">
        <v>227</v>
      </c>
    </row>
    <row r="230" spans="2:13" x14ac:dyDescent="0.4">
      <c r="B230" s="2">
        <v>3103</v>
      </c>
      <c r="C230" s="6" t="s">
        <v>55</v>
      </c>
      <c r="D230" s="10" t="s">
        <v>34</v>
      </c>
      <c r="E230" s="10">
        <v>1</v>
      </c>
      <c r="F230" s="10">
        <v>1004</v>
      </c>
      <c r="G230" s="10">
        <f t="shared" si="2"/>
        <v>3</v>
      </c>
      <c r="H230" s="3">
        <v>40001</v>
      </c>
      <c r="I230" s="4" t="s">
        <v>589</v>
      </c>
      <c r="J230" s="13">
        <v>91</v>
      </c>
      <c r="K230" s="13">
        <v>600000</v>
      </c>
      <c r="L230" t="s">
        <v>58</v>
      </c>
      <c r="M230" t="s">
        <v>228</v>
      </c>
    </row>
    <row r="231" spans="2:13" x14ac:dyDescent="0.4">
      <c r="B231" s="2">
        <v>3104</v>
      </c>
      <c r="C231" s="6" t="s">
        <v>55</v>
      </c>
      <c r="D231" s="10" t="s">
        <v>34</v>
      </c>
      <c r="E231" s="10">
        <v>1</v>
      </c>
      <c r="F231" s="10">
        <v>1004</v>
      </c>
      <c r="G231" s="10">
        <f t="shared" si="2"/>
        <v>4</v>
      </c>
      <c r="H231" s="3">
        <v>40001</v>
      </c>
      <c r="I231" s="4" t="s">
        <v>590</v>
      </c>
      <c r="J231" s="13">
        <v>91</v>
      </c>
      <c r="K231" s="13">
        <v>800000</v>
      </c>
      <c r="L231" t="s">
        <v>59</v>
      </c>
      <c r="M231" t="s">
        <v>229</v>
      </c>
    </row>
    <row r="232" spans="2:13" x14ac:dyDescent="0.4">
      <c r="B232" s="2">
        <v>3105</v>
      </c>
      <c r="C232" s="6" t="s">
        <v>55</v>
      </c>
      <c r="D232" s="10" t="s">
        <v>34</v>
      </c>
      <c r="E232" s="10">
        <v>1</v>
      </c>
      <c r="F232" s="10">
        <v>1004</v>
      </c>
      <c r="G232" s="10">
        <f t="shared" si="2"/>
        <v>5</v>
      </c>
      <c r="H232" s="3">
        <v>40001</v>
      </c>
      <c r="I232" s="4" t="s">
        <v>591</v>
      </c>
      <c r="J232" s="13">
        <v>91</v>
      </c>
      <c r="K232" s="13">
        <v>1000000</v>
      </c>
      <c r="L232" t="s">
        <v>60</v>
      </c>
      <c r="M232" t="s">
        <v>230</v>
      </c>
    </row>
    <row r="233" spans="2:13" x14ac:dyDescent="0.4">
      <c r="B233" s="2">
        <v>3106</v>
      </c>
      <c r="C233" s="6" t="s">
        <v>55</v>
      </c>
      <c r="D233" s="10" t="s">
        <v>34</v>
      </c>
      <c r="E233" s="10">
        <v>1</v>
      </c>
      <c r="F233" s="10">
        <v>1004</v>
      </c>
      <c r="G233" s="10">
        <f t="shared" si="2"/>
        <v>6</v>
      </c>
      <c r="H233" s="3">
        <v>40001</v>
      </c>
      <c r="I233" s="4" t="s">
        <v>592</v>
      </c>
      <c r="J233" s="13">
        <v>91</v>
      </c>
      <c r="K233" s="13">
        <v>1200000</v>
      </c>
      <c r="L233" t="s">
        <v>61</v>
      </c>
      <c r="M233" t="s">
        <v>231</v>
      </c>
    </row>
    <row r="234" spans="2:13" x14ac:dyDescent="0.4">
      <c r="B234" s="2">
        <v>3107</v>
      </c>
      <c r="C234" s="6" t="s">
        <v>55</v>
      </c>
      <c r="D234" s="10" t="s">
        <v>34</v>
      </c>
      <c r="E234" s="10">
        <v>1</v>
      </c>
      <c r="F234" s="10">
        <v>1004</v>
      </c>
      <c r="G234" s="10">
        <f t="shared" si="2"/>
        <v>7</v>
      </c>
      <c r="H234" s="3">
        <v>40001</v>
      </c>
      <c r="I234" s="4" t="s">
        <v>593</v>
      </c>
      <c r="J234" s="13">
        <v>91</v>
      </c>
      <c r="K234" s="13">
        <v>1400000</v>
      </c>
      <c r="L234" t="s">
        <v>62</v>
      </c>
      <c r="M234" t="s">
        <v>232</v>
      </c>
    </row>
    <row r="235" spans="2:13" x14ac:dyDescent="0.4">
      <c r="B235" s="2">
        <v>3108</v>
      </c>
      <c r="C235" s="6" t="s">
        <v>55</v>
      </c>
      <c r="D235" s="10" t="s">
        <v>34</v>
      </c>
      <c r="E235" s="10">
        <v>1</v>
      </c>
      <c r="F235" s="10">
        <v>1004</v>
      </c>
      <c r="G235" s="10">
        <f t="shared" si="2"/>
        <v>8</v>
      </c>
      <c r="H235" s="3">
        <v>40001</v>
      </c>
      <c r="I235" s="4" t="s">
        <v>594</v>
      </c>
      <c r="J235" s="13">
        <v>91</v>
      </c>
      <c r="K235" s="13">
        <v>1600000</v>
      </c>
      <c r="L235" t="s">
        <v>63</v>
      </c>
      <c r="M235" t="s">
        <v>233</v>
      </c>
    </row>
    <row r="236" spans="2:13" x14ac:dyDescent="0.4">
      <c r="B236" s="2">
        <v>3109</v>
      </c>
      <c r="C236" s="6" t="s">
        <v>55</v>
      </c>
      <c r="D236" s="10" t="s">
        <v>34</v>
      </c>
      <c r="E236" s="10">
        <v>1</v>
      </c>
      <c r="F236" s="10">
        <v>1004</v>
      </c>
      <c r="G236" s="10">
        <f t="shared" si="2"/>
        <v>9</v>
      </c>
      <c r="H236" s="3">
        <v>40001</v>
      </c>
      <c r="I236" s="4" t="s">
        <v>595</v>
      </c>
      <c r="J236" s="13">
        <v>91</v>
      </c>
      <c r="K236" s="13">
        <v>1800000</v>
      </c>
      <c r="L236" t="s">
        <v>64</v>
      </c>
      <c r="M236" t="s">
        <v>234</v>
      </c>
    </row>
    <row r="237" spans="2:13" x14ac:dyDescent="0.4">
      <c r="B237" s="2">
        <v>3110</v>
      </c>
      <c r="C237" s="6" t="s">
        <v>55</v>
      </c>
      <c r="D237" s="10" t="s">
        <v>34</v>
      </c>
      <c r="E237" s="10">
        <v>1</v>
      </c>
      <c r="F237" s="10">
        <v>1004</v>
      </c>
      <c r="G237" s="10">
        <f t="shared" si="2"/>
        <v>10</v>
      </c>
      <c r="H237" s="3">
        <v>40001</v>
      </c>
      <c r="I237" s="4" t="s">
        <v>596</v>
      </c>
      <c r="J237" s="13">
        <v>91</v>
      </c>
      <c r="K237" s="13">
        <v>2000000</v>
      </c>
      <c r="L237" t="s">
        <v>65</v>
      </c>
      <c r="M237" t="s">
        <v>235</v>
      </c>
    </row>
    <row r="238" spans="2:13" x14ac:dyDescent="0.4">
      <c r="B238" s="2">
        <v>3111</v>
      </c>
      <c r="C238" s="6" t="s">
        <v>55</v>
      </c>
      <c r="D238" s="10" t="s">
        <v>34</v>
      </c>
      <c r="E238" s="10">
        <v>1</v>
      </c>
      <c r="F238" s="10">
        <v>1004</v>
      </c>
      <c r="G238" s="10">
        <f t="shared" ref="G238:G247" si="3">G218</f>
        <v>11</v>
      </c>
      <c r="H238" s="3">
        <v>40001</v>
      </c>
      <c r="I238" s="4" t="s">
        <v>597</v>
      </c>
      <c r="J238" s="13">
        <v>91</v>
      </c>
      <c r="K238" s="13">
        <v>2200000</v>
      </c>
      <c r="L238" t="s">
        <v>66</v>
      </c>
      <c r="M238" t="s">
        <v>236</v>
      </c>
    </row>
    <row r="239" spans="2:13" x14ac:dyDescent="0.4">
      <c r="B239" s="2">
        <v>3112</v>
      </c>
      <c r="C239" s="6" t="s">
        <v>55</v>
      </c>
      <c r="D239" s="10" t="s">
        <v>34</v>
      </c>
      <c r="E239" s="10">
        <v>1</v>
      </c>
      <c r="F239" s="10">
        <v>1004</v>
      </c>
      <c r="G239" s="10">
        <f t="shared" si="3"/>
        <v>12</v>
      </c>
      <c r="H239" s="3">
        <v>40001</v>
      </c>
      <c r="I239" s="4" t="s">
        <v>598</v>
      </c>
      <c r="J239" s="13">
        <v>91</v>
      </c>
      <c r="K239" s="13">
        <v>2400000</v>
      </c>
      <c r="L239" t="s">
        <v>67</v>
      </c>
      <c r="M239" t="s">
        <v>237</v>
      </c>
    </row>
    <row r="240" spans="2:13" x14ac:dyDescent="0.4">
      <c r="B240" s="2">
        <v>3113</v>
      </c>
      <c r="C240" s="6" t="s">
        <v>55</v>
      </c>
      <c r="D240" s="10" t="s">
        <v>34</v>
      </c>
      <c r="E240" s="10">
        <v>1</v>
      </c>
      <c r="F240" s="10">
        <v>1004</v>
      </c>
      <c r="G240" s="10">
        <f t="shared" si="3"/>
        <v>13</v>
      </c>
      <c r="H240" s="3">
        <v>40001</v>
      </c>
      <c r="I240" s="4" t="s">
        <v>599</v>
      </c>
      <c r="J240" s="13">
        <v>91</v>
      </c>
      <c r="K240" s="13">
        <v>2600000</v>
      </c>
      <c r="L240" t="s">
        <v>68</v>
      </c>
      <c r="M240" t="s">
        <v>238</v>
      </c>
    </row>
    <row r="241" spans="2:13" x14ac:dyDescent="0.4">
      <c r="B241" s="2">
        <v>3114</v>
      </c>
      <c r="C241" s="6" t="s">
        <v>55</v>
      </c>
      <c r="D241" s="10" t="s">
        <v>34</v>
      </c>
      <c r="E241" s="10">
        <v>1</v>
      </c>
      <c r="F241" s="10">
        <v>1004</v>
      </c>
      <c r="G241" s="10">
        <f t="shared" si="3"/>
        <v>14</v>
      </c>
      <c r="H241" s="3">
        <v>40001</v>
      </c>
      <c r="I241" s="4" t="s">
        <v>600</v>
      </c>
      <c r="J241" s="13">
        <v>91</v>
      </c>
      <c r="K241" s="13">
        <v>2800000</v>
      </c>
      <c r="L241" t="s">
        <v>69</v>
      </c>
      <c r="M241" t="s">
        <v>239</v>
      </c>
    </row>
    <row r="242" spans="2:13" x14ac:dyDescent="0.4">
      <c r="B242" s="2">
        <v>3115</v>
      </c>
      <c r="C242" s="6" t="s">
        <v>55</v>
      </c>
      <c r="D242" s="10" t="s">
        <v>34</v>
      </c>
      <c r="E242" s="10">
        <v>1</v>
      </c>
      <c r="F242" s="10">
        <v>1004</v>
      </c>
      <c r="G242" s="10">
        <f t="shared" si="3"/>
        <v>15</v>
      </c>
      <c r="H242" s="3">
        <v>40001</v>
      </c>
      <c r="I242" s="4" t="s">
        <v>601</v>
      </c>
      <c r="J242" s="13">
        <v>91</v>
      </c>
      <c r="K242" s="13">
        <v>3000000</v>
      </c>
      <c r="L242" t="s">
        <v>70</v>
      </c>
      <c r="M242" t="s">
        <v>240</v>
      </c>
    </row>
    <row r="243" spans="2:13" x14ac:dyDescent="0.4">
      <c r="B243" s="2">
        <v>3116</v>
      </c>
      <c r="C243" s="6" t="s">
        <v>55</v>
      </c>
      <c r="D243" s="10" t="s">
        <v>34</v>
      </c>
      <c r="E243" s="10">
        <v>1</v>
      </c>
      <c r="F243" s="10">
        <v>1004</v>
      </c>
      <c r="G243" s="10">
        <f t="shared" si="3"/>
        <v>16</v>
      </c>
      <c r="H243" s="3">
        <v>40001</v>
      </c>
      <c r="I243" s="4" t="s">
        <v>602</v>
      </c>
      <c r="J243" s="13">
        <v>91</v>
      </c>
      <c r="K243" s="13">
        <v>3200000</v>
      </c>
      <c r="L243" t="s">
        <v>71</v>
      </c>
      <c r="M243" t="s">
        <v>241</v>
      </c>
    </row>
    <row r="244" spans="2:13" x14ac:dyDescent="0.4">
      <c r="B244" s="2">
        <v>3117</v>
      </c>
      <c r="C244" s="6" t="s">
        <v>55</v>
      </c>
      <c r="D244" s="10" t="s">
        <v>34</v>
      </c>
      <c r="E244" s="10">
        <v>1</v>
      </c>
      <c r="F244" s="10">
        <v>1004</v>
      </c>
      <c r="G244" s="10">
        <f t="shared" si="3"/>
        <v>17</v>
      </c>
      <c r="H244" s="3">
        <v>40001</v>
      </c>
      <c r="I244" s="4" t="s">
        <v>603</v>
      </c>
      <c r="J244" s="13">
        <v>91</v>
      </c>
      <c r="K244" s="13">
        <v>3400000</v>
      </c>
      <c r="L244" t="s">
        <v>72</v>
      </c>
      <c r="M244" t="s">
        <v>242</v>
      </c>
    </row>
    <row r="245" spans="2:13" x14ac:dyDescent="0.4">
      <c r="B245" s="2">
        <v>3118</v>
      </c>
      <c r="C245" s="6" t="s">
        <v>55</v>
      </c>
      <c r="D245" s="10" t="s">
        <v>34</v>
      </c>
      <c r="E245" s="10">
        <v>1</v>
      </c>
      <c r="F245" s="10">
        <v>1004</v>
      </c>
      <c r="G245" s="10">
        <f t="shared" si="3"/>
        <v>18</v>
      </c>
      <c r="H245" s="3">
        <v>40001</v>
      </c>
      <c r="I245" s="4" t="s">
        <v>604</v>
      </c>
      <c r="J245" s="13">
        <v>91</v>
      </c>
      <c r="K245" s="13">
        <v>3600000</v>
      </c>
      <c r="L245" t="s">
        <v>73</v>
      </c>
      <c r="M245" t="s">
        <v>243</v>
      </c>
    </row>
    <row r="246" spans="2:13" x14ac:dyDescent="0.4">
      <c r="B246" s="2">
        <v>3119</v>
      </c>
      <c r="C246" s="6" t="s">
        <v>55</v>
      </c>
      <c r="D246" s="10" t="s">
        <v>34</v>
      </c>
      <c r="E246" s="10">
        <v>1</v>
      </c>
      <c r="F246" s="10">
        <v>1004</v>
      </c>
      <c r="G246" s="10">
        <f t="shared" si="3"/>
        <v>19</v>
      </c>
      <c r="H246" s="3">
        <v>40001</v>
      </c>
      <c r="I246" s="4" t="s">
        <v>605</v>
      </c>
      <c r="J246" s="13">
        <v>91</v>
      </c>
      <c r="K246" s="13">
        <v>3800000</v>
      </c>
      <c r="L246" t="s">
        <v>74</v>
      </c>
      <c r="M246" t="s">
        <v>244</v>
      </c>
    </row>
    <row r="247" spans="2:13" x14ac:dyDescent="0.4">
      <c r="B247" s="2">
        <v>3120</v>
      </c>
      <c r="C247" s="6" t="s">
        <v>55</v>
      </c>
      <c r="D247" s="10" t="s">
        <v>34</v>
      </c>
      <c r="E247" s="10">
        <v>1</v>
      </c>
      <c r="F247" s="10">
        <v>1004</v>
      </c>
      <c r="G247" s="10">
        <f t="shared" si="3"/>
        <v>20</v>
      </c>
      <c r="H247" s="3">
        <v>40001</v>
      </c>
      <c r="I247" s="4" t="s">
        <v>606</v>
      </c>
      <c r="J247" s="13">
        <v>91</v>
      </c>
      <c r="K247" s="13">
        <v>4000000</v>
      </c>
      <c r="L247" t="s">
        <v>75</v>
      </c>
      <c r="M247" t="s">
        <v>245</v>
      </c>
    </row>
    <row r="248" spans="2:13" x14ac:dyDescent="0.4">
      <c r="B248" s="2">
        <v>3201</v>
      </c>
      <c r="C248" s="6" t="s">
        <v>76</v>
      </c>
      <c r="D248" s="10" t="s">
        <v>34</v>
      </c>
      <c r="E248" s="10">
        <v>1</v>
      </c>
      <c r="F248" s="10">
        <v>1004</v>
      </c>
      <c r="G248" s="10">
        <f t="shared" ref="G248:G257" si="4">G228</f>
        <v>1</v>
      </c>
      <c r="H248" s="3">
        <v>40001</v>
      </c>
      <c r="I248" s="4" t="s">
        <v>587</v>
      </c>
      <c r="J248" s="13">
        <v>91</v>
      </c>
      <c r="K248" s="13">
        <v>200000</v>
      </c>
      <c r="L248" t="s">
        <v>77</v>
      </c>
      <c r="M248" t="s">
        <v>246</v>
      </c>
    </row>
    <row r="249" spans="2:13" x14ac:dyDescent="0.4">
      <c r="B249" s="2">
        <v>3202</v>
      </c>
      <c r="C249" s="6" t="s">
        <v>76</v>
      </c>
      <c r="D249" s="10" t="s">
        <v>34</v>
      </c>
      <c r="E249" s="10">
        <v>1</v>
      </c>
      <c r="F249" s="10">
        <v>1004</v>
      </c>
      <c r="G249" s="10">
        <f t="shared" si="4"/>
        <v>2</v>
      </c>
      <c r="H249" s="3">
        <v>40001</v>
      </c>
      <c r="I249" s="4" t="s">
        <v>588</v>
      </c>
      <c r="J249" s="13">
        <v>91</v>
      </c>
      <c r="K249" s="13">
        <v>400000</v>
      </c>
      <c r="L249" t="s">
        <v>78</v>
      </c>
      <c r="M249" t="s">
        <v>247</v>
      </c>
    </row>
    <row r="250" spans="2:13" x14ac:dyDescent="0.4">
      <c r="B250" s="2">
        <v>3203</v>
      </c>
      <c r="C250" s="6" t="s">
        <v>76</v>
      </c>
      <c r="D250" s="10" t="s">
        <v>34</v>
      </c>
      <c r="E250" s="10">
        <v>1</v>
      </c>
      <c r="F250" s="10">
        <v>1004</v>
      </c>
      <c r="G250" s="10">
        <f t="shared" si="4"/>
        <v>3</v>
      </c>
      <c r="H250" s="3">
        <v>40001</v>
      </c>
      <c r="I250" s="4" t="s">
        <v>589</v>
      </c>
      <c r="J250" s="13">
        <v>91</v>
      </c>
      <c r="K250" s="13">
        <v>600000</v>
      </c>
      <c r="L250" t="s">
        <v>79</v>
      </c>
      <c r="M250" t="s">
        <v>248</v>
      </c>
    </row>
    <row r="251" spans="2:13" x14ac:dyDescent="0.4">
      <c r="B251" s="2">
        <v>3204</v>
      </c>
      <c r="C251" s="6" t="s">
        <v>76</v>
      </c>
      <c r="D251" s="10" t="s">
        <v>34</v>
      </c>
      <c r="E251" s="10">
        <v>1</v>
      </c>
      <c r="F251" s="10">
        <v>1004</v>
      </c>
      <c r="G251" s="10">
        <f t="shared" si="4"/>
        <v>4</v>
      </c>
      <c r="H251" s="3">
        <v>40001</v>
      </c>
      <c r="I251" s="4" t="s">
        <v>590</v>
      </c>
      <c r="J251" s="13">
        <v>91</v>
      </c>
      <c r="K251" s="13">
        <v>800000</v>
      </c>
      <c r="L251" t="s">
        <v>80</v>
      </c>
      <c r="M251" t="s">
        <v>249</v>
      </c>
    </row>
    <row r="252" spans="2:13" x14ac:dyDescent="0.4">
      <c r="B252" s="2">
        <v>3205</v>
      </c>
      <c r="C252" s="6" t="s">
        <v>76</v>
      </c>
      <c r="D252" s="10" t="s">
        <v>34</v>
      </c>
      <c r="E252" s="10">
        <v>1</v>
      </c>
      <c r="F252" s="10">
        <v>1004</v>
      </c>
      <c r="G252" s="10">
        <f t="shared" si="4"/>
        <v>5</v>
      </c>
      <c r="H252" s="3">
        <v>40001</v>
      </c>
      <c r="I252" s="4" t="s">
        <v>591</v>
      </c>
      <c r="J252" s="13">
        <v>91</v>
      </c>
      <c r="K252" s="13">
        <v>1000000</v>
      </c>
      <c r="L252" t="s">
        <v>81</v>
      </c>
      <c r="M252" t="s">
        <v>250</v>
      </c>
    </row>
    <row r="253" spans="2:13" x14ac:dyDescent="0.4">
      <c r="B253" s="2">
        <v>3206</v>
      </c>
      <c r="C253" s="6" t="s">
        <v>76</v>
      </c>
      <c r="D253" s="10" t="s">
        <v>34</v>
      </c>
      <c r="E253" s="10">
        <v>1</v>
      </c>
      <c r="F253" s="10">
        <v>1004</v>
      </c>
      <c r="G253" s="10">
        <f t="shared" si="4"/>
        <v>6</v>
      </c>
      <c r="H253" s="3">
        <v>40001</v>
      </c>
      <c r="I253" s="4" t="s">
        <v>592</v>
      </c>
      <c r="J253" s="13">
        <v>91</v>
      </c>
      <c r="K253" s="13">
        <v>1200000</v>
      </c>
      <c r="L253" t="s">
        <v>82</v>
      </c>
      <c r="M253" t="s">
        <v>251</v>
      </c>
    </row>
    <row r="254" spans="2:13" x14ac:dyDescent="0.4">
      <c r="B254" s="2">
        <v>3207</v>
      </c>
      <c r="C254" s="6" t="s">
        <v>76</v>
      </c>
      <c r="D254" s="10" t="s">
        <v>34</v>
      </c>
      <c r="E254" s="10">
        <v>1</v>
      </c>
      <c r="F254" s="10">
        <v>1004</v>
      </c>
      <c r="G254" s="10">
        <f t="shared" si="4"/>
        <v>7</v>
      </c>
      <c r="H254" s="3">
        <v>40001</v>
      </c>
      <c r="I254" s="4" t="s">
        <v>593</v>
      </c>
      <c r="J254" s="13">
        <v>91</v>
      </c>
      <c r="K254" s="13">
        <v>1400000</v>
      </c>
      <c r="L254" t="s">
        <v>83</v>
      </c>
      <c r="M254" t="s">
        <v>252</v>
      </c>
    </row>
    <row r="255" spans="2:13" x14ac:dyDescent="0.4">
      <c r="B255" s="2">
        <v>3208</v>
      </c>
      <c r="C255" s="6" t="s">
        <v>76</v>
      </c>
      <c r="D255" s="10" t="s">
        <v>34</v>
      </c>
      <c r="E255" s="10">
        <v>1</v>
      </c>
      <c r="F255" s="10">
        <v>1004</v>
      </c>
      <c r="G255" s="10">
        <f t="shared" si="4"/>
        <v>8</v>
      </c>
      <c r="H255" s="3">
        <v>40001</v>
      </c>
      <c r="I255" s="4" t="s">
        <v>594</v>
      </c>
      <c r="J255" s="13">
        <v>91</v>
      </c>
      <c r="K255" s="13">
        <v>1600000</v>
      </c>
      <c r="L255" t="s">
        <v>84</v>
      </c>
      <c r="M255" t="s">
        <v>253</v>
      </c>
    </row>
    <row r="256" spans="2:13" x14ac:dyDescent="0.4">
      <c r="B256" s="2">
        <v>3209</v>
      </c>
      <c r="C256" s="6" t="s">
        <v>76</v>
      </c>
      <c r="D256" s="10" t="s">
        <v>34</v>
      </c>
      <c r="E256" s="10">
        <v>1</v>
      </c>
      <c r="F256" s="10">
        <v>1004</v>
      </c>
      <c r="G256" s="10">
        <f t="shared" si="4"/>
        <v>9</v>
      </c>
      <c r="H256" s="3">
        <v>40001</v>
      </c>
      <c r="I256" s="4" t="s">
        <v>595</v>
      </c>
      <c r="J256" s="13">
        <v>91</v>
      </c>
      <c r="K256" s="13">
        <v>1800000</v>
      </c>
      <c r="L256" t="s">
        <v>85</v>
      </c>
      <c r="M256" t="s">
        <v>254</v>
      </c>
    </row>
    <row r="257" spans="2:13" x14ac:dyDescent="0.4">
      <c r="B257" s="2">
        <v>3210</v>
      </c>
      <c r="C257" s="6" t="s">
        <v>76</v>
      </c>
      <c r="D257" s="10" t="s">
        <v>34</v>
      </c>
      <c r="E257" s="10">
        <v>1</v>
      </c>
      <c r="F257" s="10">
        <v>1004</v>
      </c>
      <c r="G257" s="10">
        <f t="shared" si="4"/>
        <v>10</v>
      </c>
      <c r="H257" s="3">
        <v>40001</v>
      </c>
      <c r="I257" s="4" t="s">
        <v>596</v>
      </c>
      <c r="J257" s="13">
        <v>91</v>
      </c>
      <c r="K257" s="13">
        <v>2000000</v>
      </c>
      <c r="L257" t="s">
        <v>86</v>
      </c>
      <c r="M257" t="s">
        <v>255</v>
      </c>
    </row>
    <row r="258" spans="2:13" x14ac:dyDescent="0.4">
      <c r="B258" s="2">
        <v>3211</v>
      </c>
      <c r="C258" s="6" t="s">
        <v>76</v>
      </c>
      <c r="D258" s="10" t="s">
        <v>34</v>
      </c>
      <c r="E258" s="10">
        <v>1</v>
      </c>
      <c r="F258" s="10">
        <v>1004</v>
      </c>
      <c r="G258" s="10">
        <f t="shared" ref="G258:G267" si="5">G238</f>
        <v>11</v>
      </c>
      <c r="H258" s="3">
        <v>40001</v>
      </c>
      <c r="I258" s="4" t="s">
        <v>597</v>
      </c>
      <c r="J258" s="13">
        <v>91</v>
      </c>
      <c r="K258" s="13">
        <v>2200000</v>
      </c>
      <c r="L258" t="s">
        <v>87</v>
      </c>
      <c r="M258" t="s">
        <v>256</v>
      </c>
    </row>
    <row r="259" spans="2:13" x14ac:dyDescent="0.4">
      <c r="B259" s="2">
        <v>3212</v>
      </c>
      <c r="C259" s="6" t="s">
        <v>76</v>
      </c>
      <c r="D259" s="10" t="s">
        <v>34</v>
      </c>
      <c r="E259" s="10">
        <v>1</v>
      </c>
      <c r="F259" s="10">
        <v>1004</v>
      </c>
      <c r="G259" s="10">
        <f t="shared" si="5"/>
        <v>12</v>
      </c>
      <c r="H259" s="3">
        <v>40001</v>
      </c>
      <c r="I259" s="4" t="s">
        <v>598</v>
      </c>
      <c r="J259" s="13">
        <v>91</v>
      </c>
      <c r="K259" s="13">
        <v>2400000</v>
      </c>
      <c r="L259" t="s">
        <v>88</v>
      </c>
      <c r="M259" t="s">
        <v>257</v>
      </c>
    </row>
    <row r="260" spans="2:13" x14ac:dyDescent="0.4">
      <c r="B260" s="2">
        <v>3213</v>
      </c>
      <c r="C260" s="6" t="s">
        <v>76</v>
      </c>
      <c r="D260" s="10" t="s">
        <v>34</v>
      </c>
      <c r="E260" s="10">
        <v>1</v>
      </c>
      <c r="F260" s="10">
        <v>1004</v>
      </c>
      <c r="G260" s="10">
        <f t="shared" si="5"/>
        <v>13</v>
      </c>
      <c r="H260" s="3">
        <v>40001</v>
      </c>
      <c r="I260" s="4" t="s">
        <v>599</v>
      </c>
      <c r="J260" s="13">
        <v>91</v>
      </c>
      <c r="K260" s="13">
        <v>2600000</v>
      </c>
      <c r="L260" t="s">
        <v>89</v>
      </c>
      <c r="M260" t="s">
        <v>258</v>
      </c>
    </row>
    <row r="261" spans="2:13" x14ac:dyDescent="0.4">
      <c r="B261" s="2">
        <v>3214</v>
      </c>
      <c r="C261" s="6" t="s">
        <v>76</v>
      </c>
      <c r="D261" s="10" t="s">
        <v>34</v>
      </c>
      <c r="E261" s="10">
        <v>1</v>
      </c>
      <c r="F261" s="10">
        <v>1004</v>
      </c>
      <c r="G261" s="10">
        <f t="shared" si="5"/>
        <v>14</v>
      </c>
      <c r="H261" s="3">
        <v>40001</v>
      </c>
      <c r="I261" s="4" t="s">
        <v>600</v>
      </c>
      <c r="J261" s="13">
        <v>91</v>
      </c>
      <c r="K261" s="13">
        <v>2800000</v>
      </c>
      <c r="L261" t="s">
        <v>90</v>
      </c>
      <c r="M261" t="s">
        <v>259</v>
      </c>
    </row>
    <row r="262" spans="2:13" x14ac:dyDescent="0.4">
      <c r="B262" s="2">
        <v>3215</v>
      </c>
      <c r="C262" s="6" t="s">
        <v>76</v>
      </c>
      <c r="D262" s="10" t="s">
        <v>34</v>
      </c>
      <c r="E262" s="10">
        <v>1</v>
      </c>
      <c r="F262" s="10">
        <v>1004</v>
      </c>
      <c r="G262" s="10">
        <f t="shared" si="5"/>
        <v>15</v>
      </c>
      <c r="H262" s="3">
        <v>40001</v>
      </c>
      <c r="I262" s="4" t="s">
        <v>601</v>
      </c>
      <c r="J262" s="13">
        <v>91</v>
      </c>
      <c r="K262" s="13">
        <v>3000000</v>
      </c>
      <c r="L262" t="s">
        <v>91</v>
      </c>
      <c r="M262" t="s">
        <v>260</v>
      </c>
    </row>
    <row r="263" spans="2:13" x14ac:dyDescent="0.4">
      <c r="B263" s="2">
        <v>3216</v>
      </c>
      <c r="C263" s="6" t="s">
        <v>76</v>
      </c>
      <c r="D263" s="10" t="s">
        <v>34</v>
      </c>
      <c r="E263" s="10">
        <v>1</v>
      </c>
      <c r="F263" s="10">
        <v>1004</v>
      </c>
      <c r="G263" s="10">
        <f t="shared" si="5"/>
        <v>16</v>
      </c>
      <c r="H263" s="3">
        <v>40001</v>
      </c>
      <c r="I263" s="4" t="s">
        <v>602</v>
      </c>
      <c r="J263" s="13">
        <v>91</v>
      </c>
      <c r="K263" s="13">
        <v>3200000</v>
      </c>
      <c r="L263" t="s">
        <v>92</v>
      </c>
      <c r="M263" t="s">
        <v>261</v>
      </c>
    </row>
    <row r="264" spans="2:13" x14ac:dyDescent="0.4">
      <c r="B264" s="2">
        <v>3217</v>
      </c>
      <c r="C264" s="6" t="s">
        <v>76</v>
      </c>
      <c r="D264" s="10" t="s">
        <v>34</v>
      </c>
      <c r="E264" s="10">
        <v>1</v>
      </c>
      <c r="F264" s="10">
        <v>1004</v>
      </c>
      <c r="G264" s="10">
        <f t="shared" si="5"/>
        <v>17</v>
      </c>
      <c r="H264" s="3">
        <v>40001</v>
      </c>
      <c r="I264" s="4" t="s">
        <v>603</v>
      </c>
      <c r="J264" s="13">
        <v>91</v>
      </c>
      <c r="K264" s="13">
        <v>3400000</v>
      </c>
      <c r="L264" t="s">
        <v>93</v>
      </c>
      <c r="M264" t="s">
        <v>262</v>
      </c>
    </row>
    <row r="265" spans="2:13" x14ac:dyDescent="0.4">
      <c r="B265" s="2">
        <v>3218</v>
      </c>
      <c r="C265" s="6" t="s">
        <v>76</v>
      </c>
      <c r="D265" s="10" t="s">
        <v>34</v>
      </c>
      <c r="E265" s="10">
        <v>1</v>
      </c>
      <c r="F265" s="10">
        <v>1004</v>
      </c>
      <c r="G265" s="10">
        <f t="shared" si="5"/>
        <v>18</v>
      </c>
      <c r="H265" s="3">
        <v>40001</v>
      </c>
      <c r="I265" s="4" t="s">
        <v>604</v>
      </c>
      <c r="J265" s="13">
        <v>91</v>
      </c>
      <c r="K265" s="13">
        <v>3600000</v>
      </c>
      <c r="L265" t="s">
        <v>94</v>
      </c>
      <c r="M265" t="s">
        <v>263</v>
      </c>
    </row>
    <row r="266" spans="2:13" x14ac:dyDescent="0.4">
      <c r="B266" s="2">
        <v>3219</v>
      </c>
      <c r="C266" s="6" t="s">
        <v>76</v>
      </c>
      <c r="D266" s="10" t="s">
        <v>34</v>
      </c>
      <c r="E266" s="10">
        <v>1</v>
      </c>
      <c r="F266" s="10">
        <v>1004</v>
      </c>
      <c r="G266" s="10">
        <f t="shared" si="5"/>
        <v>19</v>
      </c>
      <c r="H266" s="3">
        <v>40001</v>
      </c>
      <c r="I266" s="4" t="s">
        <v>605</v>
      </c>
      <c r="J266" s="13">
        <v>91</v>
      </c>
      <c r="K266" s="13">
        <v>3800000</v>
      </c>
      <c r="L266" t="s">
        <v>95</v>
      </c>
      <c r="M266" t="s">
        <v>264</v>
      </c>
    </row>
    <row r="267" spans="2:13" x14ac:dyDescent="0.4">
      <c r="B267" s="2">
        <v>3220</v>
      </c>
      <c r="C267" s="6" t="s">
        <v>76</v>
      </c>
      <c r="D267" s="10" t="s">
        <v>34</v>
      </c>
      <c r="E267" s="10">
        <v>1</v>
      </c>
      <c r="F267" s="10">
        <v>1004</v>
      </c>
      <c r="G267" s="10">
        <f t="shared" si="5"/>
        <v>20</v>
      </c>
      <c r="H267" s="3">
        <v>40001</v>
      </c>
      <c r="I267" s="4" t="s">
        <v>606</v>
      </c>
      <c r="J267" s="13">
        <v>91</v>
      </c>
      <c r="K267" s="13">
        <v>4000000</v>
      </c>
      <c r="L267" t="s">
        <v>96</v>
      </c>
      <c r="M267" t="s">
        <v>265</v>
      </c>
    </row>
    <row r="268" spans="2:13" x14ac:dyDescent="0.4">
      <c r="B268" s="2">
        <v>3301</v>
      </c>
      <c r="C268" s="6" t="s">
        <v>97</v>
      </c>
      <c r="D268" s="10" t="s">
        <v>34</v>
      </c>
      <c r="E268" s="10">
        <v>1</v>
      </c>
      <c r="F268" s="10">
        <v>1004</v>
      </c>
      <c r="G268" s="10">
        <f t="shared" ref="G268:G277" si="6">G248</f>
        <v>1</v>
      </c>
      <c r="H268" s="3">
        <v>40001</v>
      </c>
      <c r="I268" s="4" t="s">
        <v>587</v>
      </c>
      <c r="J268" s="13">
        <v>91</v>
      </c>
      <c r="K268" s="13">
        <v>200000</v>
      </c>
      <c r="L268" t="s">
        <v>98</v>
      </c>
      <c r="M268" t="s">
        <v>266</v>
      </c>
    </row>
    <row r="269" spans="2:13" x14ac:dyDescent="0.4">
      <c r="B269" s="2">
        <v>3302</v>
      </c>
      <c r="C269" s="6" t="s">
        <v>97</v>
      </c>
      <c r="D269" s="10" t="s">
        <v>34</v>
      </c>
      <c r="E269" s="10">
        <v>1</v>
      </c>
      <c r="F269" s="10">
        <v>1004</v>
      </c>
      <c r="G269" s="10">
        <f t="shared" si="6"/>
        <v>2</v>
      </c>
      <c r="H269" s="3">
        <v>40001</v>
      </c>
      <c r="I269" s="4" t="s">
        <v>588</v>
      </c>
      <c r="J269" s="13">
        <v>91</v>
      </c>
      <c r="K269" s="13">
        <v>400000</v>
      </c>
      <c r="L269" t="s">
        <v>99</v>
      </c>
      <c r="M269" t="s">
        <v>267</v>
      </c>
    </row>
    <row r="270" spans="2:13" x14ac:dyDescent="0.4">
      <c r="B270" s="2">
        <v>3303</v>
      </c>
      <c r="C270" s="6" t="s">
        <v>97</v>
      </c>
      <c r="D270" s="10" t="s">
        <v>34</v>
      </c>
      <c r="E270" s="10">
        <v>1</v>
      </c>
      <c r="F270" s="10">
        <v>1004</v>
      </c>
      <c r="G270" s="10">
        <f t="shared" si="6"/>
        <v>3</v>
      </c>
      <c r="H270" s="3">
        <v>40001</v>
      </c>
      <c r="I270" s="4" t="s">
        <v>589</v>
      </c>
      <c r="J270" s="13">
        <v>91</v>
      </c>
      <c r="K270" s="13">
        <v>600000</v>
      </c>
      <c r="L270" t="s">
        <v>100</v>
      </c>
      <c r="M270" t="s">
        <v>268</v>
      </c>
    </row>
    <row r="271" spans="2:13" x14ac:dyDescent="0.4">
      <c r="B271" s="2">
        <v>3304</v>
      </c>
      <c r="C271" s="6" t="s">
        <v>97</v>
      </c>
      <c r="D271" s="10" t="s">
        <v>34</v>
      </c>
      <c r="E271" s="10">
        <v>1</v>
      </c>
      <c r="F271" s="10">
        <v>1004</v>
      </c>
      <c r="G271" s="10">
        <f t="shared" si="6"/>
        <v>4</v>
      </c>
      <c r="H271" s="3">
        <v>40001</v>
      </c>
      <c r="I271" s="4" t="s">
        <v>590</v>
      </c>
      <c r="J271" s="13">
        <v>91</v>
      </c>
      <c r="K271" s="13">
        <v>800000</v>
      </c>
      <c r="L271" t="s">
        <v>101</v>
      </c>
      <c r="M271" t="s">
        <v>269</v>
      </c>
    </row>
    <row r="272" spans="2:13" x14ac:dyDescent="0.4">
      <c r="B272" s="2">
        <v>3305</v>
      </c>
      <c r="C272" s="6" t="s">
        <v>97</v>
      </c>
      <c r="D272" s="10" t="s">
        <v>34</v>
      </c>
      <c r="E272" s="10">
        <v>1</v>
      </c>
      <c r="F272" s="10">
        <v>1004</v>
      </c>
      <c r="G272" s="10">
        <f t="shared" si="6"/>
        <v>5</v>
      </c>
      <c r="H272" s="3">
        <v>40001</v>
      </c>
      <c r="I272" s="4" t="s">
        <v>591</v>
      </c>
      <c r="J272" s="13">
        <v>91</v>
      </c>
      <c r="K272" s="13">
        <v>1000000</v>
      </c>
      <c r="L272" t="s">
        <v>102</v>
      </c>
      <c r="M272" t="s">
        <v>270</v>
      </c>
    </row>
    <row r="273" spans="2:13" x14ac:dyDescent="0.4">
      <c r="B273" s="2">
        <v>3306</v>
      </c>
      <c r="C273" s="6" t="s">
        <v>97</v>
      </c>
      <c r="D273" s="10" t="s">
        <v>34</v>
      </c>
      <c r="E273" s="10">
        <v>1</v>
      </c>
      <c r="F273" s="10">
        <v>1004</v>
      </c>
      <c r="G273" s="10">
        <f t="shared" si="6"/>
        <v>6</v>
      </c>
      <c r="H273" s="3">
        <v>40001</v>
      </c>
      <c r="I273" s="4" t="s">
        <v>592</v>
      </c>
      <c r="J273" s="13">
        <v>91</v>
      </c>
      <c r="K273" s="13">
        <v>1200000</v>
      </c>
      <c r="L273" t="s">
        <v>103</v>
      </c>
      <c r="M273" t="s">
        <v>271</v>
      </c>
    </row>
    <row r="274" spans="2:13" x14ac:dyDescent="0.4">
      <c r="B274" s="2">
        <v>3307</v>
      </c>
      <c r="C274" s="6" t="s">
        <v>97</v>
      </c>
      <c r="D274" s="10" t="s">
        <v>34</v>
      </c>
      <c r="E274" s="10">
        <v>1</v>
      </c>
      <c r="F274" s="10">
        <v>1004</v>
      </c>
      <c r="G274" s="10">
        <f t="shared" si="6"/>
        <v>7</v>
      </c>
      <c r="H274" s="3">
        <v>40001</v>
      </c>
      <c r="I274" s="4" t="s">
        <v>593</v>
      </c>
      <c r="J274" s="13">
        <v>91</v>
      </c>
      <c r="K274" s="13">
        <v>1400000</v>
      </c>
      <c r="L274" t="s">
        <v>104</v>
      </c>
      <c r="M274" t="s">
        <v>272</v>
      </c>
    </row>
    <row r="275" spans="2:13" x14ac:dyDescent="0.4">
      <c r="B275" s="2">
        <v>3308</v>
      </c>
      <c r="C275" s="6" t="s">
        <v>97</v>
      </c>
      <c r="D275" s="10" t="s">
        <v>34</v>
      </c>
      <c r="E275" s="10">
        <v>1</v>
      </c>
      <c r="F275" s="10">
        <v>1004</v>
      </c>
      <c r="G275" s="10">
        <f t="shared" si="6"/>
        <v>8</v>
      </c>
      <c r="H275" s="3">
        <v>40001</v>
      </c>
      <c r="I275" s="4" t="s">
        <v>594</v>
      </c>
      <c r="J275" s="13">
        <v>91</v>
      </c>
      <c r="K275" s="13">
        <v>1600000</v>
      </c>
      <c r="L275" t="s">
        <v>105</v>
      </c>
      <c r="M275" t="s">
        <v>273</v>
      </c>
    </row>
    <row r="276" spans="2:13" x14ac:dyDescent="0.4">
      <c r="B276" s="2">
        <v>3309</v>
      </c>
      <c r="C276" s="6" t="s">
        <v>97</v>
      </c>
      <c r="D276" s="10" t="s">
        <v>34</v>
      </c>
      <c r="E276" s="10">
        <v>1</v>
      </c>
      <c r="F276" s="10">
        <v>1004</v>
      </c>
      <c r="G276" s="10">
        <f t="shared" si="6"/>
        <v>9</v>
      </c>
      <c r="H276" s="3">
        <v>40001</v>
      </c>
      <c r="I276" s="4" t="s">
        <v>595</v>
      </c>
      <c r="J276" s="13">
        <v>91</v>
      </c>
      <c r="K276" s="13">
        <v>1800000</v>
      </c>
      <c r="L276" t="s">
        <v>106</v>
      </c>
      <c r="M276" t="s">
        <v>274</v>
      </c>
    </row>
    <row r="277" spans="2:13" x14ac:dyDescent="0.4">
      <c r="B277" s="2">
        <v>3310</v>
      </c>
      <c r="C277" s="6" t="s">
        <v>97</v>
      </c>
      <c r="D277" s="10" t="s">
        <v>34</v>
      </c>
      <c r="E277" s="10">
        <v>1</v>
      </c>
      <c r="F277" s="10">
        <v>1004</v>
      </c>
      <c r="G277" s="10">
        <f t="shared" si="6"/>
        <v>10</v>
      </c>
      <c r="H277" s="3">
        <v>40001</v>
      </c>
      <c r="I277" s="4" t="s">
        <v>596</v>
      </c>
      <c r="J277" s="13">
        <v>91</v>
      </c>
      <c r="K277" s="13">
        <v>2000000</v>
      </c>
      <c r="L277" t="s">
        <v>107</v>
      </c>
      <c r="M277" t="s">
        <v>275</v>
      </c>
    </row>
    <row r="278" spans="2:13" x14ac:dyDescent="0.4">
      <c r="B278" s="2">
        <v>3311</v>
      </c>
      <c r="C278" s="6" t="s">
        <v>97</v>
      </c>
      <c r="D278" s="10" t="s">
        <v>34</v>
      </c>
      <c r="E278" s="10">
        <v>1</v>
      </c>
      <c r="F278" s="10">
        <v>1004</v>
      </c>
      <c r="G278" s="10">
        <f t="shared" ref="G278:G287" si="7">G258</f>
        <v>11</v>
      </c>
      <c r="H278" s="3">
        <v>40001</v>
      </c>
      <c r="I278" s="4" t="s">
        <v>597</v>
      </c>
      <c r="J278" s="13">
        <v>91</v>
      </c>
      <c r="K278" s="13">
        <v>2200000</v>
      </c>
      <c r="L278" t="s">
        <v>108</v>
      </c>
      <c r="M278" t="s">
        <v>276</v>
      </c>
    </row>
    <row r="279" spans="2:13" x14ac:dyDescent="0.4">
      <c r="B279" s="2">
        <v>3312</v>
      </c>
      <c r="C279" s="6" t="s">
        <v>97</v>
      </c>
      <c r="D279" s="10" t="s">
        <v>34</v>
      </c>
      <c r="E279" s="10">
        <v>1</v>
      </c>
      <c r="F279" s="10">
        <v>1004</v>
      </c>
      <c r="G279" s="10">
        <f t="shared" si="7"/>
        <v>12</v>
      </c>
      <c r="H279" s="3">
        <v>40001</v>
      </c>
      <c r="I279" s="4" t="s">
        <v>598</v>
      </c>
      <c r="J279" s="13">
        <v>91</v>
      </c>
      <c r="K279" s="13">
        <v>2400000</v>
      </c>
      <c r="L279" t="s">
        <v>109</v>
      </c>
      <c r="M279" t="s">
        <v>277</v>
      </c>
    </row>
    <row r="280" spans="2:13" x14ac:dyDescent="0.4">
      <c r="B280" s="2">
        <v>3313</v>
      </c>
      <c r="C280" s="6" t="s">
        <v>97</v>
      </c>
      <c r="D280" s="10" t="s">
        <v>34</v>
      </c>
      <c r="E280" s="10">
        <v>1</v>
      </c>
      <c r="F280" s="10">
        <v>1004</v>
      </c>
      <c r="G280" s="10">
        <f t="shared" si="7"/>
        <v>13</v>
      </c>
      <c r="H280" s="3">
        <v>40001</v>
      </c>
      <c r="I280" s="4" t="s">
        <v>599</v>
      </c>
      <c r="J280" s="13">
        <v>91</v>
      </c>
      <c r="K280" s="13">
        <v>2600000</v>
      </c>
      <c r="L280" t="s">
        <v>110</v>
      </c>
      <c r="M280" t="s">
        <v>278</v>
      </c>
    </row>
    <row r="281" spans="2:13" x14ac:dyDescent="0.4">
      <c r="B281" s="2">
        <v>3314</v>
      </c>
      <c r="C281" s="6" t="s">
        <v>97</v>
      </c>
      <c r="D281" s="10" t="s">
        <v>34</v>
      </c>
      <c r="E281" s="10">
        <v>1</v>
      </c>
      <c r="F281" s="10">
        <v>1004</v>
      </c>
      <c r="G281" s="10">
        <f t="shared" si="7"/>
        <v>14</v>
      </c>
      <c r="H281" s="3">
        <v>40001</v>
      </c>
      <c r="I281" s="4" t="s">
        <v>600</v>
      </c>
      <c r="J281" s="13">
        <v>91</v>
      </c>
      <c r="K281" s="13">
        <v>2800000</v>
      </c>
      <c r="L281" t="s">
        <v>111</v>
      </c>
      <c r="M281" t="s">
        <v>279</v>
      </c>
    </row>
    <row r="282" spans="2:13" x14ac:dyDescent="0.4">
      <c r="B282" s="2">
        <v>3315</v>
      </c>
      <c r="C282" s="6" t="s">
        <v>97</v>
      </c>
      <c r="D282" s="10" t="s">
        <v>34</v>
      </c>
      <c r="E282" s="10">
        <v>1</v>
      </c>
      <c r="F282" s="10">
        <v>1004</v>
      </c>
      <c r="G282" s="10">
        <f t="shared" si="7"/>
        <v>15</v>
      </c>
      <c r="H282" s="3">
        <v>40001</v>
      </c>
      <c r="I282" s="4" t="s">
        <v>601</v>
      </c>
      <c r="J282" s="13">
        <v>91</v>
      </c>
      <c r="K282" s="13">
        <v>3000000</v>
      </c>
      <c r="L282" t="s">
        <v>112</v>
      </c>
      <c r="M282" t="s">
        <v>280</v>
      </c>
    </row>
    <row r="283" spans="2:13" x14ac:dyDescent="0.4">
      <c r="B283" s="2">
        <v>3316</v>
      </c>
      <c r="C283" s="6" t="s">
        <v>97</v>
      </c>
      <c r="D283" s="10" t="s">
        <v>34</v>
      </c>
      <c r="E283" s="10">
        <v>1</v>
      </c>
      <c r="F283" s="10">
        <v>1004</v>
      </c>
      <c r="G283" s="10">
        <f t="shared" si="7"/>
        <v>16</v>
      </c>
      <c r="H283" s="3">
        <v>40001</v>
      </c>
      <c r="I283" s="4" t="s">
        <v>602</v>
      </c>
      <c r="J283" s="13">
        <v>91</v>
      </c>
      <c r="K283" s="13">
        <v>3200000</v>
      </c>
      <c r="L283" t="s">
        <v>113</v>
      </c>
      <c r="M283" t="s">
        <v>281</v>
      </c>
    </row>
    <row r="284" spans="2:13" x14ac:dyDescent="0.4">
      <c r="B284" s="2">
        <v>3317</v>
      </c>
      <c r="C284" s="6" t="s">
        <v>97</v>
      </c>
      <c r="D284" s="10" t="s">
        <v>34</v>
      </c>
      <c r="E284" s="10">
        <v>1</v>
      </c>
      <c r="F284" s="10">
        <v>1004</v>
      </c>
      <c r="G284" s="10">
        <f t="shared" si="7"/>
        <v>17</v>
      </c>
      <c r="H284" s="3">
        <v>40001</v>
      </c>
      <c r="I284" s="4" t="s">
        <v>603</v>
      </c>
      <c r="J284" s="13">
        <v>91</v>
      </c>
      <c r="K284" s="13">
        <v>3400000</v>
      </c>
      <c r="L284" t="s">
        <v>114</v>
      </c>
      <c r="M284" t="s">
        <v>282</v>
      </c>
    </row>
    <row r="285" spans="2:13" x14ac:dyDescent="0.4">
      <c r="B285" s="2">
        <v>3318</v>
      </c>
      <c r="C285" s="6" t="s">
        <v>97</v>
      </c>
      <c r="D285" s="10" t="s">
        <v>34</v>
      </c>
      <c r="E285" s="10">
        <v>1</v>
      </c>
      <c r="F285" s="10">
        <v>1004</v>
      </c>
      <c r="G285" s="10">
        <f t="shared" si="7"/>
        <v>18</v>
      </c>
      <c r="H285" s="3">
        <v>40001</v>
      </c>
      <c r="I285" s="4" t="s">
        <v>604</v>
      </c>
      <c r="J285" s="13">
        <v>91</v>
      </c>
      <c r="K285" s="13">
        <v>3600000</v>
      </c>
      <c r="L285" t="s">
        <v>115</v>
      </c>
      <c r="M285" t="s">
        <v>283</v>
      </c>
    </row>
    <row r="286" spans="2:13" x14ac:dyDescent="0.4">
      <c r="B286" s="2">
        <v>3319</v>
      </c>
      <c r="C286" s="6" t="s">
        <v>97</v>
      </c>
      <c r="D286" s="10" t="s">
        <v>34</v>
      </c>
      <c r="E286" s="10">
        <v>1</v>
      </c>
      <c r="F286" s="10">
        <v>1004</v>
      </c>
      <c r="G286" s="10">
        <f t="shared" si="7"/>
        <v>19</v>
      </c>
      <c r="H286" s="3">
        <v>40001</v>
      </c>
      <c r="I286" s="4" t="s">
        <v>605</v>
      </c>
      <c r="J286" s="13">
        <v>91</v>
      </c>
      <c r="K286" s="13">
        <v>3800000</v>
      </c>
      <c r="L286" t="s">
        <v>116</v>
      </c>
      <c r="M286" t="s">
        <v>284</v>
      </c>
    </row>
    <row r="287" spans="2:13" x14ac:dyDescent="0.4">
      <c r="B287" s="2">
        <v>3320</v>
      </c>
      <c r="C287" s="6" t="s">
        <v>97</v>
      </c>
      <c r="D287" s="10" t="s">
        <v>34</v>
      </c>
      <c r="E287" s="10">
        <v>1</v>
      </c>
      <c r="F287" s="10">
        <v>1004</v>
      </c>
      <c r="G287" s="10">
        <f t="shared" si="7"/>
        <v>20</v>
      </c>
      <c r="H287" s="3">
        <v>40001</v>
      </c>
      <c r="I287" s="4" t="s">
        <v>606</v>
      </c>
      <c r="J287" s="13">
        <v>91</v>
      </c>
      <c r="K287" s="13">
        <v>4000000</v>
      </c>
      <c r="L287" t="s">
        <v>117</v>
      </c>
      <c r="M287" t="s">
        <v>285</v>
      </c>
    </row>
    <row r="288" spans="2:13" x14ac:dyDescent="0.4">
      <c r="B288" s="2">
        <v>3401</v>
      </c>
      <c r="C288" s="6" t="s">
        <v>118</v>
      </c>
      <c r="D288" s="10" t="s">
        <v>34</v>
      </c>
      <c r="E288" s="10">
        <v>1</v>
      </c>
      <c r="F288" s="10">
        <v>1004</v>
      </c>
      <c r="G288" s="10">
        <f t="shared" ref="G288:G319" si="8">G268</f>
        <v>1</v>
      </c>
      <c r="H288" s="3">
        <v>40001</v>
      </c>
      <c r="I288" s="4" t="s">
        <v>587</v>
      </c>
      <c r="J288" s="13">
        <v>91</v>
      </c>
      <c r="K288" s="13">
        <v>200000</v>
      </c>
      <c r="L288" t="s">
        <v>119</v>
      </c>
      <c r="M288" t="s">
        <v>286</v>
      </c>
    </row>
    <row r="289" spans="2:13" x14ac:dyDescent="0.4">
      <c r="B289" s="2">
        <v>3402</v>
      </c>
      <c r="C289" s="6" t="s">
        <v>118</v>
      </c>
      <c r="D289" s="10" t="s">
        <v>34</v>
      </c>
      <c r="E289" s="10">
        <v>1</v>
      </c>
      <c r="F289" s="10">
        <v>1004</v>
      </c>
      <c r="G289" s="10">
        <f t="shared" si="8"/>
        <v>2</v>
      </c>
      <c r="H289" s="3">
        <v>40001</v>
      </c>
      <c r="I289" s="4" t="s">
        <v>588</v>
      </c>
      <c r="J289" s="13">
        <v>91</v>
      </c>
      <c r="K289" s="13">
        <v>400000</v>
      </c>
      <c r="L289" t="s">
        <v>120</v>
      </c>
      <c r="M289" t="s">
        <v>287</v>
      </c>
    </row>
    <row r="290" spans="2:13" x14ac:dyDescent="0.4">
      <c r="B290" s="2">
        <v>3403</v>
      </c>
      <c r="C290" s="6" t="s">
        <v>118</v>
      </c>
      <c r="D290" s="10" t="s">
        <v>34</v>
      </c>
      <c r="E290" s="10">
        <v>1</v>
      </c>
      <c r="F290" s="10">
        <v>1004</v>
      </c>
      <c r="G290" s="10">
        <f t="shared" si="8"/>
        <v>3</v>
      </c>
      <c r="H290" s="3">
        <v>40001</v>
      </c>
      <c r="I290" s="4" t="s">
        <v>589</v>
      </c>
      <c r="J290" s="13">
        <v>91</v>
      </c>
      <c r="K290" s="13">
        <v>600000</v>
      </c>
      <c r="L290" t="s">
        <v>121</v>
      </c>
      <c r="M290" t="s">
        <v>288</v>
      </c>
    </row>
    <row r="291" spans="2:13" x14ac:dyDescent="0.4">
      <c r="B291" s="2">
        <v>3404</v>
      </c>
      <c r="C291" s="6" t="s">
        <v>118</v>
      </c>
      <c r="D291" s="10" t="s">
        <v>34</v>
      </c>
      <c r="E291" s="10">
        <v>1</v>
      </c>
      <c r="F291" s="10">
        <v>1004</v>
      </c>
      <c r="G291" s="10">
        <f t="shared" si="8"/>
        <v>4</v>
      </c>
      <c r="H291" s="3">
        <v>40001</v>
      </c>
      <c r="I291" s="4" t="s">
        <v>590</v>
      </c>
      <c r="J291" s="13">
        <v>91</v>
      </c>
      <c r="K291" s="13">
        <v>800000</v>
      </c>
      <c r="L291" t="s">
        <v>122</v>
      </c>
      <c r="M291" t="s">
        <v>289</v>
      </c>
    </row>
    <row r="292" spans="2:13" x14ac:dyDescent="0.4">
      <c r="B292" s="2">
        <v>3405</v>
      </c>
      <c r="C292" s="6" t="s">
        <v>118</v>
      </c>
      <c r="D292" s="10" t="s">
        <v>34</v>
      </c>
      <c r="E292" s="10">
        <v>1</v>
      </c>
      <c r="F292" s="10">
        <v>1004</v>
      </c>
      <c r="G292" s="10">
        <f t="shared" si="8"/>
        <v>5</v>
      </c>
      <c r="H292" s="3">
        <v>40001</v>
      </c>
      <c r="I292" s="4" t="s">
        <v>591</v>
      </c>
      <c r="J292" s="13">
        <v>91</v>
      </c>
      <c r="K292" s="13">
        <v>1000000</v>
      </c>
      <c r="L292" t="s">
        <v>123</v>
      </c>
      <c r="M292" t="s">
        <v>290</v>
      </c>
    </row>
    <row r="293" spans="2:13" x14ac:dyDescent="0.4">
      <c r="B293" s="2">
        <v>3406</v>
      </c>
      <c r="C293" s="6" t="s">
        <v>118</v>
      </c>
      <c r="D293" s="10" t="s">
        <v>34</v>
      </c>
      <c r="E293" s="10">
        <v>1</v>
      </c>
      <c r="F293" s="10">
        <v>1004</v>
      </c>
      <c r="G293" s="10">
        <f t="shared" si="8"/>
        <v>6</v>
      </c>
      <c r="H293" s="3">
        <v>40001</v>
      </c>
      <c r="I293" s="4" t="s">
        <v>592</v>
      </c>
      <c r="J293" s="13">
        <v>91</v>
      </c>
      <c r="K293" s="13">
        <v>1200000</v>
      </c>
      <c r="L293" t="s">
        <v>124</v>
      </c>
      <c r="M293" t="s">
        <v>291</v>
      </c>
    </row>
    <row r="294" spans="2:13" x14ac:dyDescent="0.4">
      <c r="B294" s="2">
        <v>3407</v>
      </c>
      <c r="C294" s="6" t="s">
        <v>118</v>
      </c>
      <c r="D294" s="10" t="s">
        <v>34</v>
      </c>
      <c r="E294" s="10">
        <v>1</v>
      </c>
      <c r="F294" s="10">
        <v>1004</v>
      </c>
      <c r="G294" s="10">
        <f t="shared" si="8"/>
        <v>7</v>
      </c>
      <c r="H294" s="3">
        <v>40001</v>
      </c>
      <c r="I294" s="4" t="s">
        <v>593</v>
      </c>
      <c r="J294" s="13">
        <v>91</v>
      </c>
      <c r="K294" s="13">
        <v>1400000</v>
      </c>
      <c r="L294" t="s">
        <v>125</v>
      </c>
      <c r="M294" t="s">
        <v>292</v>
      </c>
    </row>
    <row r="295" spans="2:13" x14ac:dyDescent="0.4">
      <c r="B295" s="2">
        <v>3408</v>
      </c>
      <c r="C295" s="6" t="s">
        <v>118</v>
      </c>
      <c r="D295" s="10" t="s">
        <v>34</v>
      </c>
      <c r="E295" s="10">
        <v>1</v>
      </c>
      <c r="F295" s="10">
        <v>1004</v>
      </c>
      <c r="G295" s="10">
        <f t="shared" si="8"/>
        <v>8</v>
      </c>
      <c r="H295" s="3">
        <v>40001</v>
      </c>
      <c r="I295" s="4" t="s">
        <v>594</v>
      </c>
      <c r="J295" s="13">
        <v>91</v>
      </c>
      <c r="K295" s="13">
        <v>1600000</v>
      </c>
      <c r="L295" t="s">
        <v>126</v>
      </c>
      <c r="M295" t="s">
        <v>293</v>
      </c>
    </row>
    <row r="296" spans="2:13" x14ac:dyDescent="0.4">
      <c r="B296" s="2">
        <v>3409</v>
      </c>
      <c r="C296" s="6" t="s">
        <v>118</v>
      </c>
      <c r="D296" s="10" t="s">
        <v>34</v>
      </c>
      <c r="E296" s="10">
        <v>1</v>
      </c>
      <c r="F296" s="10">
        <v>1004</v>
      </c>
      <c r="G296" s="10">
        <f t="shared" si="8"/>
        <v>9</v>
      </c>
      <c r="H296" s="3">
        <v>40001</v>
      </c>
      <c r="I296" s="4" t="s">
        <v>595</v>
      </c>
      <c r="J296" s="13">
        <v>91</v>
      </c>
      <c r="K296" s="13">
        <v>1800000</v>
      </c>
      <c r="L296" t="s">
        <v>127</v>
      </c>
      <c r="M296" t="s">
        <v>294</v>
      </c>
    </row>
    <row r="297" spans="2:13" x14ac:dyDescent="0.4">
      <c r="B297" s="2">
        <v>3410</v>
      </c>
      <c r="C297" s="6" t="s">
        <v>118</v>
      </c>
      <c r="D297" s="10" t="s">
        <v>34</v>
      </c>
      <c r="E297" s="10">
        <v>1</v>
      </c>
      <c r="F297" s="10">
        <v>1004</v>
      </c>
      <c r="G297" s="10">
        <f t="shared" si="8"/>
        <v>10</v>
      </c>
      <c r="H297" s="3">
        <v>40001</v>
      </c>
      <c r="I297" s="4" t="s">
        <v>596</v>
      </c>
      <c r="J297" s="13">
        <v>91</v>
      </c>
      <c r="K297" s="13">
        <v>2000000</v>
      </c>
      <c r="L297" t="s">
        <v>128</v>
      </c>
      <c r="M297" t="s">
        <v>295</v>
      </c>
    </row>
    <row r="298" spans="2:13" x14ac:dyDescent="0.4">
      <c r="B298" s="2">
        <v>3411</v>
      </c>
      <c r="C298" s="6" t="s">
        <v>118</v>
      </c>
      <c r="D298" s="10" t="s">
        <v>34</v>
      </c>
      <c r="E298" s="10">
        <v>1</v>
      </c>
      <c r="F298" s="10">
        <v>1004</v>
      </c>
      <c r="G298" s="10">
        <f t="shared" si="8"/>
        <v>11</v>
      </c>
      <c r="H298" s="3">
        <v>40001</v>
      </c>
      <c r="I298" s="4" t="s">
        <v>597</v>
      </c>
      <c r="J298" s="13">
        <v>91</v>
      </c>
      <c r="K298" s="13">
        <v>2200000</v>
      </c>
      <c r="L298" t="s">
        <v>129</v>
      </c>
      <c r="M298" t="s">
        <v>296</v>
      </c>
    </row>
    <row r="299" spans="2:13" x14ac:dyDescent="0.4">
      <c r="B299" s="2">
        <v>3412</v>
      </c>
      <c r="C299" s="6" t="s">
        <v>118</v>
      </c>
      <c r="D299" s="10" t="s">
        <v>34</v>
      </c>
      <c r="E299" s="10">
        <v>1</v>
      </c>
      <c r="F299" s="10">
        <v>1004</v>
      </c>
      <c r="G299" s="10">
        <f t="shared" si="8"/>
        <v>12</v>
      </c>
      <c r="H299" s="3">
        <v>40001</v>
      </c>
      <c r="I299" s="4" t="s">
        <v>598</v>
      </c>
      <c r="J299" s="13">
        <v>91</v>
      </c>
      <c r="K299" s="13">
        <v>2400000</v>
      </c>
      <c r="L299" t="s">
        <v>130</v>
      </c>
      <c r="M299" t="s">
        <v>297</v>
      </c>
    </row>
    <row r="300" spans="2:13" x14ac:dyDescent="0.4">
      <c r="B300" s="2">
        <v>3413</v>
      </c>
      <c r="C300" s="6" t="s">
        <v>118</v>
      </c>
      <c r="D300" s="10" t="s">
        <v>34</v>
      </c>
      <c r="E300" s="10">
        <v>1</v>
      </c>
      <c r="F300" s="10">
        <v>1004</v>
      </c>
      <c r="G300" s="10">
        <f t="shared" si="8"/>
        <v>13</v>
      </c>
      <c r="H300" s="3">
        <v>40001</v>
      </c>
      <c r="I300" s="4" t="s">
        <v>599</v>
      </c>
      <c r="J300" s="13">
        <v>91</v>
      </c>
      <c r="K300" s="13">
        <v>2600000</v>
      </c>
      <c r="L300" t="s">
        <v>131</v>
      </c>
      <c r="M300" t="s">
        <v>298</v>
      </c>
    </row>
    <row r="301" spans="2:13" x14ac:dyDescent="0.4">
      <c r="B301" s="2">
        <v>3414</v>
      </c>
      <c r="C301" s="6" t="s">
        <v>118</v>
      </c>
      <c r="D301" s="10" t="s">
        <v>34</v>
      </c>
      <c r="E301" s="10">
        <v>1</v>
      </c>
      <c r="F301" s="10">
        <v>1004</v>
      </c>
      <c r="G301" s="10">
        <f t="shared" si="8"/>
        <v>14</v>
      </c>
      <c r="H301" s="3">
        <v>40001</v>
      </c>
      <c r="I301" s="4" t="s">
        <v>600</v>
      </c>
      <c r="J301" s="13">
        <v>91</v>
      </c>
      <c r="K301" s="13">
        <v>2800000</v>
      </c>
      <c r="L301" t="s">
        <v>132</v>
      </c>
      <c r="M301" t="s">
        <v>299</v>
      </c>
    </row>
    <row r="302" spans="2:13" x14ac:dyDescent="0.4">
      <c r="B302" s="2">
        <v>3415</v>
      </c>
      <c r="C302" s="6" t="s">
        <v>118</v>
      </c>
      <c r="D302" s="10" t="s">
        <v>34</v>
      </c>
      <c r="E302" s="10">
        <v>1</v>
      </c>
      <c r="F302" s="10">
        <v>1004</v>
      </c>
      <c r="G302" s="10">
        <f t="shared" si="8"/>
        <v>15</v>
      </c>
      <c r="H302" s="3">
        <v>40001</v>
      </c>
      <c r="I302" s="4" t="s">
        <v>601</v>
      </c>
      <c r="J302" s="13">
        <v>91</v>
      </c>
      <c r="K302" s="13">
        <v>3000000</v>
      </c>
      <c r="L302" t="s">
        <v>133</v>
      </c>
      <c r="M302" t="s">
        <v>300</v>
      </c>
    </row>
    <row r="303" spans="2:13" x14ac:dyDescent="0.4">
      <c r="B303" s="2">
        <v>3416</v>
      </c>
      <c r="C303" s="6" t="s">
        <v>118</v>
      </c>
      <c r="D303" s="10" t="s">
        <v>34</v>
      </c>
      <c r="E303" s="10">
        <v>1</v>
      </c>
      <c r="F303" s="10">
        <v>1004</v>
      </c>
      <c r="G303" s="10">
        <f t="shared" si="8"/>
        <v>16</v>
      </c>
      <c r="H303" s="3">
        <v>40001</v>
      </c>
      <c r="I303" s="4" t="s">
        <v>602</v>
      </c>
      <c r="J303" s="13">
        <v>91</v>
      </c>
      <c r="K303" s="13">
        <v>3200000</v>
      </c>
      <c r="L303" t="s">
        <v>134</v>
      </c>
      <c r="M303" t="s">
        <v>301</v>
      </c>
    </row>
    <row r="304" spans="2:13" x14ac:dyDescent="0.4">
      <c r="B304" s="2">
        <v>3417</v>
      </c>
      <c r="C304" s="6" t="s">
        <v>118</v>
      </c>
      <c r="D304" s="10" t="s">
        <v>34</v>
      </c>
      <c r="E304" s="10">
        <v>1</v>
      </c>
      <c r="F304" s="10">
        <v>1004</v>
      </c>
      <c r="G304" s="10">
        <f t="shared" si="8"/>
        <v>17</v>
      </c>
      <c r="H304" s="3">
        <v>40001</v>
      </c>
      <c r="I304" s="4" t="s">
        <v>603</v>
      </c>
      <c r="J304" s="13">
        <v>91</v>
      </c>
      <c r="K304" s="13">
        <v>3400000</v>
      </c>
      <c r="L304" t="s">
        <v>135</v>
      </c>
      <c r="M304" t="s">
        <v>302</v>
      </c>
    </row>
    <row r="305" spans="2:13" x14ac:dyDescent="0.4">
      <c r="B305" s="2">
        <v>3418</v>
      </c>
      <c r="C305" s="6" t="s">
        <v>118</v>
      </c>
      <c r="D305" s="10" t="s">
        <v>34</v>
      </c>
      <c r="E305" s="10">
        <v>1</v>
      </c>
      <c r="F305" s="10">
        <v>1004</v>
      </c>
      <c r="G305" s="10">
        <f t="shared" si="8"/>
        <v>18</v>
      </c>
      <c r="H305" s="3">
        <v>40001</v>
      </c>
      <c r="I305" s="4" t="s">
        <v>604</v>
      </c>
      <c r="J305" s="13">
        <v>91</v>
      </c>
      <c r="K305" s="13">
        <v>3600000</v>
      </c>
      <c r="L305" t="s">
        <v>136</v>
      </c>
      <c r="M305" t="s">
        <v>303</v>
      </c>
    </row>
    <row r="306" spans="2:13" x14ac:dyDescent="0.4">
      <c r="B306" s="2">
        <v>3419</v>
      </c>
      <c r="C306" s="6" t="s">
        <v>118</v>
      </c>
      <c r="D306" s="10" t="s">
        <v>34</v>
      </c>
      <c r="E306" s="10">
        <v>1</v>
      </c>
      <c r="F306" s="10">
        <v>1004</v>
      </c>
      <c r="G306" s="10">
        <f t="shared" si="8"/>
        <v>19</v>
      </c>
      <c r="H306" s="3">
        <v>40001</v>
      </c>
      <c r="I306" s="4" t="s">
        <v>605</v>
      </c>
      <c r="J306" s="13">
        <v>91</v>
      </c>
      <c r="K306" s="13">
        <v>3800000</v>
      </c>
      <c r="L306" t="s">
        <v>137</v>
      </c>
      <c r="M306" t="s">
        <v>304</v>
      </c>
    </row>
    <row r="307" spans="2:13" x14ac:dyDescent="0.4">
      <c r="B307" s="2">
        <v>3420</v>
      </c>
      <c r="C307" s="6" t="s">
        <v>118</v>
      </c>
      <c r="D307" s="10" t="s">
        <v>34</v>
      </c>
      <c r="E307" s="10">
        <v>1</v>
      </c>
      <c r="F307" s="10">
        <v>1004</v>
      </c>
      <c r="G307" s="10">
        <f t="shared" si="8"/>
        <v>20</v>
      </c>
      <c r="H307" s="3">
        <v>40001</v>
      </c>
      <c r="I307" s="4" t="s">
        <v>606</v>
      </c>
      <c r="J307" s="13">
        <v>91</v>
      </c>
      <c r="K307" s="13">
        <v>4000000</v>
      </c>
      <c r="L307" t="s">
        <v>138</v>
      </c>
      <c r="M307" t="s">
        <v>305</v>
      </c>
    </row>
    <row r="308" spans="2:13" x14ac:dyDescent="0.4">
      <c r="B308" s="2">
        <v>3501</v>
      </c>
      <c r="C308" s="6" t="s">
        <v>139</v>
      </c>
      <c r="D308" s="10" t="s">
        <v>34</v>
      </c>
      <c r="E308" s="10">
        <v>1</v>
      </c>
      <c r="F308" s="10">
        <v>1004</v>
      </c>
      <c r="G308" s="10">
        <f t="shared" si="8"/>
        <v>1</v>
      </c>
      <c r="H308" s="3">
        <v>40001</v>
      </c>
      <c r="I308" s="4" t="s">
        <v>587</v>
      </c>
      <c r="J308" s="13">
        <v>91</v>
      </c>
      <c r="K308" s="13">
        <v>200000</v>
      </c>
      <c r="L308" t="s">
        <v>140</v>
      </c>
      <c r="M308" t="s">
        <v>306</v>
      </c>
    </row>
    <row r="309" spans="2:13" x14ac:dyDescent="0.4">
      <c r="B309" s="2">
        <v>3502</v>
      </c>
      <c r="C309" s="6" t="s">
        <v>139</v>
      </c>
      <c r="D309" s="10" t="s">
        <v>34</v>
      </c>
      <c r="E309" s="10">
        <v>1</v>
      </c>
      <c r="F309" s="10">
        <v>1004</v>
      </c>
      <c r="G309" s="10">
        <f t="shared" si="8"/>
        <v>2</v>
      </c>
      <c r="H309" s="3">
        <v>40001</v>
      </c>
      <c r="I309" s="4" t="s">
        <v>588</v>
      </c>
      <c r="J309" s="13">
        <v>91</v>
      </c>
      <c r="K309" s="13">
        <v>400000</v>
      </c>
      <c r="L309" t="s">
        <v>141</v>
      </c>
      <c r="M309" t="s">
        <v>307</v>
      </c>
    </row>
    <row r="310" spans="2:13" x14ac:dyDescent="0.4">
      <c r="B310" s="2">
        <v>3503</v>
      </c>
      <c r="C310" s="6" t="s">
        <v>139</v>
      </c>
      <c r="D310" s="10" t="s">
        <v>34</v>
      </c>
      <c r="E310" s="10">
        <v>1</v>
      </c>
      <c r="F310" s="10">
        <v>1004</v>
      </c>
      <c r="G310" s="10">
        <f t="shared" si="8"/>
        <v>3</v>
      </c>
      <c r="H310" s="3">
        <v>40001</v>
      </c>
      <c r="I310" s="4" t="s">
        <v>589</v>
      </c>
      <c r="J310" s="13">
        <v>91</v>
      </c>
      <c r="K310" s="13">
        <v>600000</v>
      </c>
      <c r="L310" t="s">
        <v>142</v>
      </c>
      <c r="M310" t="s">
        <v>308</v>
      </c>
    </row>
    <row r="311" spans="2:13" x14ac:dyDescent="0.4">
      <c r="B311" s="2">
        <v>3504</v>
      </c>
      <c r="C311" s="6" t="s">
        <v>139</v>
      </c>
      <c r="D311" s="10" t="s">
        <v>34</v>
      </c>
      <c r="E311" s="10">
        <v>1</v>
      </c>
      <c r="F311" s="10">
        <v>1004</v>
      </c>
      <c r="G311" s="10">
        <f t="shared" si="8"/>
        <v>4</v>
      </c>
      <c r="H311" s="3">
        <v>40001</v>
      </c>
      <c r="I311" s="4" t="s">
        <v>590</v>
      </c>
      <c r="J311" s="13">
        <v>91</v>
      </c>
      <c r="K311" s="13">
        <v>800000</v>
      </c>
      <c r="L311" t="s">
        <v>143</v>
      </c>
      <c r="M311" t="s">
        <v>309</v>
      </c>
    </row>
    <row r="312" spans="2:13" x14ac:dyDescent="0.4">
      <c r="B312" s="2">
        <v>3505</v>
      </c>
      <c r="C312" s="6" t="s">
        <v>139</v>
      </c>
      <c r="D312" s="10" t="s">
        <v>34</v>
      </c>
      <c r="E312" s="10">
        <v>1</v>
      </c>
      <c r="F312" s="10">
        <v>1004</v>
      </c>
      <c r="G312" s="10">
        <f t="shared" si="8"/>
        <v>5</v>
      </c>
      <c r="H312" s="3">
        <v>40001</v>
      </c>
      <c r="I312" s="4" t="s">
        <v>591</v>
      </c>
      <c r="J312" s="13">
        <v>91</v>
      </c>
      <c r="K312" s="13">
        <v>1000000</v>
      </c>
      <c r="L312" t="s">
        <v>144</v>
      </c>
      <c r="M312" t="s">
        <v>310</v>
      </c>
    </row>
    <row r="313" spans="2:13" x14ac:dyDescent="0.4">
      <c r="B313" s="2">
        <v>3506</v>
      </c>
      <c r="C313" s="6" t="s">
        <v>139</v>
      </c>
      <c r="D313" s="10" t="s">
        <v>34</v>
      </c>
      <c r="E313" s="10">
        <v>1</v>
      </c>
      <c r="F313" s="10">
        <v>1004</v>
      </c>
      <c r="G313" s="10">
        <f t="shared" si="8"/>
        <v>6</v>
      </c>
      <c r="H313" s="3">
        <v>40001</v>
      </c>
      <c r="I313" s="4" t="s">
        <v>592</v>
      </c>
      <c r="J313" s="13">
        <v>91</v>
      </c>
      <c r="K313" s="13">
        <v>1200000</v>
      </c>
      <c r="L313" t="s">
        <v>145</v>
      </c>
      <c r="M313" t="s">
        <v>311</v>
      </c>
    </row>
    <row r="314" spans="2:13" x14ac:dyDescent="0.4">
      <c r="B314" s="2">
        <v>3507</v>
      </c>
      <c r="C314" s="6" t="s">
        <v>139</v>
      </c>
      <c r="D314" s="10" t="s">
        <v>34</v>
      </c>
      <c r="E314" s="10">
        <v>1</v>
      </c>
      <c r="F314" s="10">
        <v>1004</v>
      </c>
      <c r="G314" s="10">
        <f t="shared" si="8"/>
        <v>7</v>
      </c>
      <c r="H314" s="3">
        <v>40001</v>
      </c>
      <c r="I314" s="4" t="s">
        <v>593</v>
      </c>
      <c r="J314" s="13">
        <v>91</v>
      </c>
      <c r="K314" s="13">
        <v>1400000</v>
      </c>
      <c r="L314" t="s">
        <v>146</v>
      </c>
      <c r="M314" t="s">
        <v>312</v>
      </c>
    </row>
    <row r="315" spans="2:13" x14ac:dyDescent="0.4">
      <c r="B315" s="2">
        <v>3508</v>
      </c>
      <c r="C315" s="6" t="s">
        <v>139</v>
      </c>
      <c r="D315" s="10" t="s">
        <v>34</v>
      </c>
      <c r="E315" s="10">
        <v>1</v>
      </c>
      <c r="F315" s="10">
        <v>1004</v>
      </c>
      <c r="G315" s="10">
        <f t="shared" si="8"/>
        <v>8</v>
      </c>
      <c r="H315" s="3">
        <v>40001</v>
      </c>
      <c r="I315" s="4" t="s">
        <v>594</v>
      </c>
      <c r="J315" s="13">
        <v>91</v>
      </c>
      <c r="K315" s="13">
        <v>1600000</v>
      </c>
      <c r="L315" t="s">
        <v>147</v>
      </c>
      <c r="M315" t="s">
        <v>313</v>
      </c>
    </row>
    <row r="316" spans="2:13" x14ac:dyDescent="0.4">
      <c r="B316" s="2">
        <v>3509</v>
      </c>
      <c r="C316" s="6" t="s">
        <v>139</v>
      </c>
      <c r="D316" s="10" t="s">
        <v>34</v>
      </c>
      <c r="E316" s="10">
        <v>1</v>
      </c>
      <c r="F316" s="10">
        <v>1004</v>
      </c>
      <c r="G316" s="10">
        <f t="shared" si="8"/>
        <v>9</v>
      </c>
      <c r="H316" s="3">
        <v>40001</v>
      </c>
      <c r="I316" s="4" t="s">
        <v>595</v>
      </c>
      <c r="J316" s="13">
        <v>91</v>
      </c>
      <c r="K316" s="13">
        <v>1800000</v>
      </c>
      <c r="L316" t="s">
        <v>148</v>
      </c>
      <c r="M316" t="s">
        <v>314</v>
      </c>
    </row>
    <row r="317" spans="2:13" x14ac:dyDescent="0.4">
      <c r="B317" s="2">
        <v>3510</v>
      </c>
      <c r="C317" s="6" t="s">
        <v>139</v>
      </c>
      <c r="D317" s="10" t="s">
        <v>34</v>
      </c>
      <c r="E317" s="10">
        <v>1</v>
      </c>
      <c r="F317" s="10">
        <v>1004</v>
      </c>
      <c r="G317" s="10">
        <f t="shared" si="8"/>
        <v>10</v>
      </c>
      <c r="H317" s="3">
        <v>40001</v>
      </c>
      <c r="I317" s="4" t="s">
        <v>596</v>
      </c>
      <c r="J317" s="13">
        <v>91</v>
      </c>
      <c r="K317" s="13">
        <v>2000000</v>
      </c>
      <c r="L317" t="s">
        <v>149</v>
      </c>
      <c r="M317" t="s">
        <v>315</v>
      </c>
    </row>
    <row r="318" spans="2:13" x14ac:dyDescent="0.4">
      <c r="B318" s="2">
        <v>3511</v>
      </c>
      <c r="C318" s="6" t="s">
        <v>139</v>
      </c>
      <c r="D318" s="10" t="s">
        <v>34</v>
      </c>
      <c r="E318" s="10">
        <v>1</v>
      </c>
      <c r="F318" s="10">
        <v>1004</v>
      </c>
      <c r="G318" s="10">
        <f t="shared" si="8"/>
        <v>11</v>
      </c>
      <c r="H318" s="3">
        <v>40001</v>
      </c>
      <c r="I318" s="4" t="s">
        <v>597</v>
      </c>
      <c r="J318" s="13">
        <v>91</v>
      </c>
      <c r="K318" s="13">
        <v>2200000</v>
      </c>
      <c r="L318" t="s">
        <v>150</v>
      </c>
      <c r="M318" t="s">
        <v>316</v>
      </c>
    </row>
    <row r="319" spans="2:13" x14ac:dyDescent="0.4">
      <c r="B319" s="2">
        <v>3512</v>
      </c>
      <c r="C319" s="6" t="s">
        <v>139</v>
      </c>
      <c r="D319" s="10" t="s">
        <v>34</v>
      </c>
      <c r="E319" s="10">
        <v>1</v>
      </c>
      <c r="F319" s="10">
        <v>1004</v>
      </c>
      <c r="G319" s="10">
        <f t="shared" si="8"/>
        <v>12</v>
      </c>
      <c r="H319" s="3">
        <v>40001</v>
      </c>
      <c r="I319" s="4" t="s">
        <v>598</v>
      </c>
      <c r="J319" s="13">
        <v>91</v>
      </c>
      <c r="K319" s="13">
        <v>2400000</v>
      </c>
      <c r="L319" t="s">
        <v>151</v>
      </c>
      <c r="M319" t="s">
        <v>317</v>
      </c>
    </row>
    <row r="320" spans="2:13" x14ac:dyDescent="0.4">
      <c r="B320" s="2">
        <v>3513</v>
      </c>
      <c r="C320" s="6" t="s">
        <v>139</v>
      </c>
      <c r="D320" s="10" t="s">
        <v>34</v>
      </c>
      <c r="E320" s="10">
        <v>1</v>
      </c>
      <c r="F320" s="10">
        <v>1004</v>
      </c>
      <c r="G320" s="10">
        <f t="shared" ref="G320:G351" si="9">G300</f>
        <v>13</v>
      </c>
      <c r="H320" s="3">
        <v>40001</v>
      </c>
      <c r="I320" s="4" t="s">
        <v>599</v>
      </c>
      <c r="J320" s="13">
        <v>91</v>
      </c>
      <c r="K320" s="13">
        <v>2600000</v>
      </c>
      <c r="L320" t="s">
        <v>152</v>
      </c>
      <c r="M320" t="s">
        <v>318</v>
      </c>
    </row>
    <row r="321" spans="2:13" x14ac:dyDescent="0.4">
      <c r="B321" s="2">
        <v>3514</v>
      </c>
      <c r="C321" s="6" t="s">
        <v>139</v>
      </c>
      <c r="D321" s="10" t="s">
        <v>34</v>
      </c>
      <c r="E321" s="10">
        <v>1</v>
      </c>
      <c r="F321" s="10">
        <v>1004</v>
      </c>
      <c r="G321" s="10">
        <f t="shared" si="9"/>
        <v>14</v>
      </c>
      <c r="H321" s="3">
        <v>40001</v>
      </c>
      <c r="I321" s="4" t="s">
        <v>600</v>
      </c>
      <c r="J321" s="13">
        <v>91</v>
      </c>
      <c r="K321" s="13">
        <v>2800000</v>
      </c>
      <c r="L321" t="s">
        <v>153</v>
      </c>
      <c r="M321" t="s">
        <v>319</v>
      </c>
    </row>
    <row r="322" spans="2:13" x14ac:dyDescent="0.4">
      <c r="B322" s="2">
        <v>3515</v>
      </c>
      <c r="C322" s="6" t="s">
        <v>139</v>
      </c>
      <c r="D322" s="10" t="s">
        <v>34</v>
      </c>
      <c r="E322" s="10">
        <v>1</v>
      </c>
      <c r="F322" s="10">
        <v>1004</v>
      </c>
      <c r="G322" s="10">
        <f t="shared" si="9"/>
        <v>15</v>
      </c>
      <c r="H322" s="3">
        <v>40001</v>
      </c>
      <c r="I322" s="4" t="s">
        <v>601</v>
      </c>
      <c r="J322" s="13">
        <v>91</v>
      </c>
      <c r="K322" s="13">
        <v>3000000</v>
      </c>
      <c r="L322" t="s">
        <v>154</v>
      </c>
      <c r="M322" t="s">
        <v>320</v>
      </c>
    </row>
    <row r="323" spans="2:13" x14ac:dyDescent="0.4">
      <c r="B323" s="2">
        <v>3516</v>
      </c>
      <c r="C323" s="6" t="s">
        <v>139</v>
      </c>
      <c r="D323" s="10" t="s">
        <v>34</v>
      </c>
      <c r="E323" s="10">
        <v>1</v>
      </c>
      <c r="F323" s="10">
        <v>1004</v>
      </c>
      <c r="G323" s="10">
        <f t="shared" si="9"/>
        <v>16</v>
      </c>
      <c r="H323" s="3">
        <v>40001</v>
      </c>
      <c r="I323" s="4" t="s">
        <v>602</v>
      </c>
      <c r="J323" s="13">
        <v>91</v>
      </c>
      <c r="K323" s="13">
        <v>3200000</v>
      </c>
      <c r="L323" t="s">
        <v>155</v>
      </c>
      <c r="M323" t="s">
        <v>321</v>
      </c>
    </row>
    <row r="324" spans="2:13" x14ac:dyDescent="0.4">
      <c r="B324" s="2">
        <v>3517</v>
      </c>
      <c r="C324" s="6" t="s">
        <v>139</v>
      </c>
      <c r="D324" s="10" t="s">
        <v>34</v>
      </c>
      <c r="E324" s="10">
        <v>1</v>
      </c>
      <c r="F324" s="10">
        <v>1004</v>
      </c>
      <c r="G324" s="10">
        <f t="shared" si="9"/>
        <v>17</v>
      </c>
      <c r="H324" s="3">
        <v>40001</v>
      </c>
      <c r="I324" s="4" t="s">
        <v>603</v>
      </c>
      <c r="J324" s="13">
        <v>91</v>
      </c>
      <c r="K324" s="13">
        <v>3400000</v>
      </c>
      <c r="L324" t="s">
        <v>156</v>
      </c>
      <c r="M324" t="s">
        <v>322</v>
      </c>
    </row>
    <row r="325" spans="2:13" x14ac:dyDescent="0.4">
      <c r="B325" s="2">
        <v>3518</v>
      </c>
      <c r="C325" s="6" t="s">
        <v>139</v>
      </c>
      <c r="D325" s="10" t="s">
        <v>34</v>
      </c>
      <c r="E325" s="10">
        <v>1</v>
      </c>
      <c r="F325" s="10">
        <v>1004</v>
      </c>
      <c r="G325" s="10">
        <f t="shared" si="9"/>
        <v>18</v>
      </c>
      <c r="H325" s="3">
        <v>40001</v>
      </c>
      <c r="I325" s="4" t="s">
        <v>604</v>
      </c>
      <c r="J325" s="13">
        <v>91</v>
      </c>
      <c r="K325" s="13">
        <v>3600000</v>
      </c>
      <c r="L325" t="s">
        <v>157</v>
      </c>
      <c r="M325" t="s">
        <v>323</v>
      </c>
    </row>
    <row r="326" spans="2:13" x14ac:dyDescent="0.4">
      <c r="B326" s="2">
        <v>3519</v>
      </c>
      <c r="C326" s="6" t="s">
        <v>139</v>
      </c>
      <c r="D326" s="10" t="s">
        <v>34</v>
      </c>
      <c r="E326" s="10">
        <v>1</v>
      </c>
      <c r="F326" s="10">
        <v>1004</v>
      </c>
      <c r="G326" s="10">
        <f t="shared" si="9"/>
        <v>19</v>
      </c>
      <c r="H326" s="3">
        <v>40001</v>
      </c>
      <c r="I326" s="4" t="s">
        <v>605</v>
      </c>
      <c r="J326" s="13">
        <v>91</v>
      </c>
      <c r="K326" s="13">
        <v>3800000</v>
      </c>
      <c r="L326" t="s">
        <v>158</v>
      </c>
      <c r="M326" t="s">
        <v>324</v>
      </c>
    </row>
    <row r="327" spans="2:13" x14ac:dyDescent="0.4">
      <c r="B327" s="2">
        <v>3520</v>
      </c>
      <c r="C327" s="6" t="s">
        <v>139</v>
      </c>
      <c r="D327" s="10" t="s">
        <v>34</v>
      </c>
      <c r="E327" s="10">
        <v>1</v>
      </c>
      <c r="F327" s="10">
        <v>1004</v>
      </c>
      <c r="G327" s="10">
        <f t="shared" si="9"/>
        <v>20</v>
      </c>
      <c r="H327" s="3">
        <v>40001</v>
      </c>
      <c r="I327" s="4" t="s">
        <v>606</v>
      </c>
      <c r="J327" s="13">
        <v>91</v>
      </c>
      <c r="K327" s="13">
        <v>4000000</v>
      </c>
      <c r="L327" t="s">
        <v>159</v>
      </c>
      <c r="M327" t="s">
        <v>325</v>
      </c>
    </row>
    <row r="328" spans="2:13" x14ac:dyDescent="0.4">
      <c r="B328" s="2">
        <v>3601</v>
      </c>
      <c r="C328" s="6" t="s">
        <v>160</v>
      </c>
      <c r="D328" s="10" t="s">
        <v>34</v>
      </c>
      <c r="E328" s="10">
        <v>1</v>
      </c>
      <c r="F328" s="10">
        <v>1004</v>
      </c>
      <c r="G328" s="10">
        <f t="shared" si="9"/>
        <v>1</v>
      </c>
      <c r="H328" s="3">
        <v>40001</v>
      </c>
      <c r="I328" s="4" t="s">
        <v>587</v>
      </c>
      <c r="J328" s="13">
        <v>91</v>
      </c>
      <c r="K328" s="13">
        <v>200000</v>
      </c>
      <c r="L328" t="s">
        <v>161</v>
      </c>
      <c r="M328" t="s">
        <v>326</v>
      </c>
    </row>
    <row r="329" spans="2:13" x14ac:dyDescent="0.4">
      <c r="B329" s="2">
        <v>3602</v>
      </c>
      <c r="C329" s="6" t="s">
        <v>160</v>
      </c>
      <c r="D329" s="10" t="s">
        <v>34</v>
      </c>
      <c r="E329" s="10">
        <v>1</v>
      </c>
      <c r="F329" s="10">
        <v>1004</v>
      </c>
      <c r="G329" s="10">
        <f t="shared" si="9"/>
        <v>2</v>
      </c>
      <c r="H329" s="3">
        <v>40001</v>
      </c>
      <c r="I329" s="4" t="s">
        <v>588</v>
      </c>
      <c r="J329" s="13">
        <v>91</v>
      </c>
      <c r="K329" s="13">
        <v>400000</v>
      </c>
      <c r="L329" t="s">
        <v>162</v>
      </c>
      <c r="M329" t="s">
        <v>327</v>
      </c>
    </row>
    <row r="330" spans="2:13" x14ac:dyDescent="0.4">
      <c r="B330" s="2">
        <v>3603</v>
      </c>
      <c r="C330" s="6" t="s">
        <v>160</v>
      </c>
      <c r="D330" s="10" t="s">
        <v>34</v>
      </c>
      <c r="E330" s="10">
        <v>1</v>
      </c>
      <c r="F330" s="10">
        <v>1004</v>
      </c>
      <c r="G330" s="10">
        <f t="shared" si="9"/>
        <v>3</v>
      </c>
      <c r="H330" s="3">
        <v>40001</v>
      </c>
      <c r="I330" s="4" t="s">
        <v>589</v>
      </c>
      <c r="J330" s="13">
        <v>91</v>
      </c>
      <c r="K330" s="13">
        <v>600000</v>
      </c>
      <c r="L330" t="s">
        <v>163</v>
      </c>
      <c r="M330" t="s">
        <v>328</v>
      </c>
    </row>
    <row r="331" spans="2:13" x14ac:dyDescent="0.4">
      <c r="B331" s="2">
        <v>3604</v>
      </c>
      <c r="C331" s="6" t="s">
        <v>160</v>
      </c>
      <c r="D331" s="10" t="s">
        <v>34</v>
      </c>
      <c r="E331" s="10">
        <v>1</v>
      </c>
      <c r="F331" s="10">
        <v>1004</v>
      </c>
      <c r="G331" s="10">
        <f t="shared" si="9"/>
        <v>4</v>
      </c>
      <c r="H331" s="3">
        <v>40001</v>
      </c>
      <c r="I331" s="4" t="s">
        <v>590</v>
      </c>
      <c r="J331" s="13">
        <v>91</v>
      </c>
      <c r="K331" s="13">
        <v>800000</v>
      </c>
      <c r="L331" t="s">
        <v>164</v>
      </c>
      <c r="M331" t="s">
        <v>329</v>
      </c>
    </row>
    <row r="332" spans="2:13" x14ac:dyDescent="0.4">
      <c r="B332" s="2">
        <v>3605</v>
      </c>
      <c r="C332" s="6" t="s">
        <v>160</v>
      </c>
      <c r="D332" s="10" t="s">
        <v>34</v>
      </c>
      <c r="E332" s="10">
        <v>1</v>
      </c>
      <c r="F332" s="10">
        <v>1004</v>
      </c>
      <c r="G332" s="10">
        <f t="shared" si="9"/>
        <v>5</v>
      </c>
      <c r="H332" s="3">
        <v>40001</v>
      </c>
      <c r="I332" s="4" t="s">
        <v>591</v>
      </c>
      <c r="J332" s="13">
        <v>91</v>
      </c>
      <c r="K332" s="13">
        <v>1000000</v>
      </c>
      <c r="L332" t="s">
        <v>165</v>
      </c>
      <c r="M332" t="s">
        <v>330</v>
      </c>
    </row>
    <row r="333" spans="2:13" x14ac:dyDescent="0.4">
      <c r="B333" s="2">
        <v>3606</v>
      </c>
      <c r="C333" s="6" t="s">
        <v>160</v>
      </c>
      <c r="D333" s="10" t="s">
        <v>34</v>
      </c>
      <c r="E333" s="10">
        <v>1</v>
      </c>
      <c r="F333" s="10">
        <v>1004</v>
      </c>
      <c r="G333" s="10">
        <f t="shared" si="9"/>
        <v>6</v>
      </c>
      <c r="H333" s="3">
        <v>40001</v>
      </c>
      <c r="I333" s="4" t="s">
        <v>592</v>
      </c>
      <c r="J333" s="13">
        <v>91</v>
      </c>
      <c r="K333" s="13">
        <v>1200000</v>
      </c>
      <c r="L333" t="s">
        <v>166</v>
      </c>
      <c r="M333" t="s">
        <v>331</v>
      </c>
    </row>
    <row r="334" spans="2:13" x14ac:dyDescent="0.4">
      <c r="B334" s="2">
        <v>3607</v>
      </c>
      <c r="C334" s="6" t="s">
        <v>160</v>
      </c>
      <c r="D334" s="10" t="s">
        <v>34</v>
      </c>
      <c r="E334" s="10">
        <v>1</v>
      </c>
      <c r="F334" s="10">
        <v>1004</v>
      </c>
      <c r="G334" s="10">
        <f t="shared" si="9"/>
        <v>7</v>
      </c>
      <c r="H334" s="3">
        <v>40001</v>
      </c>
      <c r="I334" s="4" t="s">
        <v>593</v>
      </c>
      <c r="J334" s="13">
        <v>91</v>
      </c>
      <c r="K334" s="13">
        <v>1400000</v>
      </c>
      <c r="L334" t="s">
        <v>167</v>
      </c>
      <c r="M334" t="s">
        <v>332</v>
      </c>
    </row>
    <row r="335" spans="2:13" x14ac:dyDescent="0.4">
      <c r="B335" s="2">
        <v>3608</v>
      </c>
      <c r="C335" s="6" t="s">
        <v>160</v>
      </c>
      <c r="D335" s="10" t="s">
        <v>34</v>
      </c>
      <c r="E335" s="10">
        <v>1</v>
      </c>
      <c r="F335" s="10">
        <v>1004</v>
      </c>
      <c r="G335" s="10">
        <f t="shared" si="9"/>
        <v>8</v>
      </c>
      <c r="H335" s="3">
        <v>40001</v>
      </c>
      <c r="I335" s="4" t="s">
        <v>594</v>
      </c>
      <c r="J335" s="13">
        <v>91</v>
      </c>
      <c r="K335" s="13">
        <v>1600000</v>
      </c>
      <c r="L335" t="s">
        <v>168</v>
      </c>
      <c r="M335" t="s">
        <v>333</v>
      </c>
    </row>
    <row r="336" spans="2:13" x14ac:dyDescent="0.4">
      <c r="B336" s="2">
        <v>3609</v>
      </c>
      <c r="C336" s="6" t="s">
        <v>160</v>
      </c>
      <c r="D336" s="10" t="s">
        <v>34</v>
      </c>
      <c r="E336" s="10">
        <v>1</v>
      </c>
      <c r="F336" s="10">
        <v>1004</v>
      </c>
      <c r="G336" s="10">
        <f t="shared" si="9"/>
        <v>9</v>
      </c>
      <c r="H336" s="3">
        <v>40001</v>
      </c>
      <c r="I336" s="4" t="s">
        <v>595</v>
      </c>
      <c r="J336" s="13">
        <v>91</v>
      </c>
      <c r="K336" s="13">
        <v>1800000</v>
      </c>
      <c r="L336" t="s">
        <v>169</v>
      </c>
      <c r="M336" t="s">
        <v>334</v>
      </c>
    </row>
    <row r="337" spans="2:13" x14ac:dyDescent="0.4">
      <c r="B337" s="2">
        <v>3610</v>
      </c>
      <c r="C337" s="6" t="s">
        <v>160</v>
      </c>
      <c r="D337" s="10" t="s">
        <v>34</v>
      </c>
      <c r="E337" s="10">
        <v>1</v>
      </c>
      <c r="F337" s="10">
        <v>1004</v>
      </c>
      <c r="G337" s="10">
        <f t="shared" si="9"/>
        <v>10</v>
      </c>
      <c r="H337" s="3">
        <v>40001</v>
      </c>
      <c r="I337" s="4" t="s">
        <v>596</v>
      </c>
      <c r="J337" s="13">
        <v>91</v>
      </c>
      <c r="K337" s="13">
        <v>2000000</v>
      </c>
      <c r="L337" t="s">
        <v>170</v>
      </c>
      <c r="M337" t="s">
        <v>335</v>
      </c>
    </row>
    <row r="338" spans="2:13" x14ac:dyDescent="0.4">
      <c r="B338" s="2">
        <v>3611</v>
      </c>
      <c r="C338" s="6" t="s">
        <v>160</v>
      </c>
      <c r="D338" s="10" t="s">
        <v>34</v>
      </c>
      <c r="E338" s="10">
        <v>1</v>
      </c>
      <c r="F338" s="10">
        <v>1004</v>
      </c>
      <c r="G338" s="10">
        <f t="shared" si="9"/>
        <v>11</v>
      </c>
      <c r="H338" s="3">
        <v>40001</v>
      </c>
      <c r="I338" s="4" t="s">
        <v>597</v>
      </c>
      <c r="J338" s="13">
        <v>91</v>
      </c>
      <c r="K338" s="13">
        <v>2200000</v>
      </c>
      <c r="L338" t="s">
        <v>171</v>
      </c>
      <c r="M338" t="s">
        <v>336</v>
      </c>
    </row>
    <row r="339" spans="2:13" x14ac:dyDescent="0.4">
      <c r="B339" s="2">
        <v>3612</v>
      </c>
      <c r="C339" s="6" t="s">
        <v>160</v>
      </c>
      <c r="D339" s="10" t="s">
        <v>34</v>
      </c>
      <c r="E339" s="10">
        <v>1</v>
      </c>
      <c r="F339" s="10">
        <v>1004</v>
      </c>
      <c r="G339" s="10">
        <f t="shared" si="9"/>
        <v>12</v>
      </c>
      <c r="H339" s="3">
        <v>40001</v>
      </c>
      <c r="I339" s="4" t="s">
        <v>598</v>
      </c>
      <c r="J339" s="13">
        <v>91</v>
      </c>
      <c r="K339" s="13">
        <v>2400000</v>
      </c>
      <c r="L339" t="s">
        <v>172</v>
      </c>
      <c r="M339" t="s">
        <v>337</v>
      </c>
    </row>
    <row r="340" spans="2:13" x14ac:dyDescent="0.4">
      <c r="B340" s="2">
        <v>3613</v>
      </c>
      <c r="C340" s="6" t="s">
        <v>160</v>
      </c>
      <c r="D340" s="10" t="s">
        <v>34</v>
      </c>
      <c r="E340" s="10">
        <v>1</v>
      </c>
      <c r="F340" s="10">
        <v>1004</v>
      </c>
      <c r="G340" s="10">
        <f t="shared" si="9"/>
        <v>13</v>
      </c>
      <c r="H340" s="3">
        <v>40001</v>
      </c>
      <c r="I340" s="4" t="s">
        <v>599</v>
      </c>
      <c r="J340" s="13">
        <v>91</v>
      </c>
      <c r="K340" s="13">
        <v>2600000</v>
      </c>
      <c r="L340" t="s">
        <v>173</v>
      </c>
      <c r="M340" t="s">
        <v>338</v>
      </c>
    </row>
    <row r="341" spans="2:13" x14ac:dyDescent="0.4">
      <c r="B341" s="2">
        <v>3614</v>
      </c>
      <c r="C341" s="6" t="s">
        <v>160</v>
      </c>
      <c r="D341" s="10" t="s">
        <v>34</v>
      </c>
      <c r="E341" s="10">
        <v>1</v>
      </c>
      <c r="F341" s="10">
        <v>1004</v>
      </c>
      <c r="G341" s="10">
        <f t="shared" si="9"/>
        <v>14</v>
      </c>
      <c r="H341" s="3">
        <v>40001</v>
      </c>
      <c r="I341" s="4" t="s">
        <v>600</v>
      </c>
      <c r="J341" s="13">
        <v>91</v>
      </c>
      <c r="K341" s="13">
        <v>2800000</v>
      </c>
      <c r="L341" t="s">
        <v>174</v>
      </c>
      <c r="M341" t="s">
        <v>339</v>
      </c>
    </row>
    <row r="342" spans="2:13" x14ac:dyDescent="0.4">
      <c r="B342" s="2">
        <v>3615</v>
      </c>
      <c r="C342" s="6" t="s">
        <v>160</v>
      </c>
      <c r="D342" s="10" t="s">
        <v>34</v>
      </c>
      <c r="E342" s="10">
        <v>1</v>
      </c>
      <c r="F342" s="10">
        <v>1004</v>
      </c>
      <c r="G342" s="10">
        <f t="shared" si="9"/>
        <v>15</v>
      </c>
      <c r="H342" s="3">
        <v>40001</v>
      </c>
      <c r="I342" s="4" t="s">
        <v>601</v>
      </c>
      <c r="J342" s="13">
        <v>91</v>
      </c>
      <c r="K342" s="13">
        <v>3000000</v>
      </c>
      <c r="L342" t="s">
        <v>175</v>
      </c>
      <c r="M342" t="s">
        <v>340</v>
      </c>
    </row>
    <row r="343" spans="2:13" x14ac:dyDescent="0.4">
      <c r="B343" s="2">
        <v>3616</v>
      </c>
      <c r="C343" s="6" t="s">
        <v>160</v>
      </c>
      <c r="D343" s="10" t="s">
        <v>34</v>
      </c>
      <c r="E343" s="10">
        <v>1</v>
      </c>
      <c r="F343" s="10">
        <v>1004</v>
      </c>
      <c r="G343" s="10">
        <f t="shared" si="9"/>
        <v>16</v>
      </c>
      <c r="H343" s="3">
        <v>40001</v>
      </c>
      <c r="I343" s="4" t="s">
        <v>602</v>
      </c>
      <c r="J343" s="13">
        <v>91</v>
      </c>
      <c r="K343" s="13">
        <v>3200000</v>
      </c>
      <c r="L343" t="s">
        <v>176</v>
      </c>
      <c r="M343" t="s">
        <v>341</v>
      </c>
    </row>
    <row r="344" spans="2:13" x14ac:dyDescent="0.4">
      <c r="B344" s="2">
        <v>3617</v>
      </c>
      <c r="C344" s="6" t="s">
        <v>160</v>
      </c>
      <c r="D344" s="10" t="s">
        <v>34</v>
      </c>
      <c r="E344" s="10">
        <v>1</v>
      </c>
      <c r="F344" s="10">
        <v>1004</v>
      </c>
      <c r="G344" s="10">
        <f t="shared" si="9"/>
        <v>17</v>
      </c>
      <c r="H344" s="3">
        <v>40001</v>
      </c>
      <c r="I344" s="4" t="s">
        <v>603</v>
      </c>
      <c r="J344" s="13">
        <v>91</v>
      </c>
      <c r="K344" s="13">
        <v>3400000</v>
      </c>
      <c r="L344" t="s">
        <v>177</v>
      </c>
      <c r="M344" t="s">
        <v>342</v>
      </c>
    </row>
    <row r="345" spans="2:13" x14ac:dyDescent="0.4">
      <c r="B345" s="2">
        <v>3618</v>
      </c>
      <c r="C345" s="6" t="s">
        <v>160</v>
      </c>
      <c r="D345" s="10" t="s">
        <v>34</v>
      </c>
      <c r="E345" s="10">
        <v>1</v>
      </c>
      <c r="F345" s="10">
        <v>1004</v>
      </c>
      <c r="G345" s="10">
        <f t="shared" si="9"/>
        <v>18</v>
      </c>
      <c r="H345" s="3">
        <v>40001</v>
      </c>
      <c r="I345" s="4" t="s">
        <v>604</v>
      </c>
      <c r="J345" s="13">
        <v>91</v>
      </c>
      <c r="K345" s="13">
        <v>3600000</v>
      </c>
      <c r="L345" t="s">
        <v>178</v>
      </c>
      <c r="M345" t="s">
        <v>343</v>
      </c>
    </row>
    <row r="346" spans="2:13" x14ac:dyDescent="0.4">
      <c r="B346" s="2">
        <v>3619</v>
      </c>
      <c r="C346" s="6" t="s">
        <v>160</v>
      </c>
      <c r="D346" s="10" t="s">
        <v>34</v>
      </c>
      <c r="E346" s="10">
        <v>1</v>
      </c>
      <c r="F346" s="10">
        <v>1004</v>
      </c>
      <c r="G346" s="10">
        <f t="shared" si="9"/>
        <v>19</v>
      </c>
      <c r="H346" s="3">
        <v>40001</v>
      </c>
      <c r="I346" s="4" t="s">
        <v>605</v>
      </c>
      <c r="J346" s="13">
        <v>91</v>
      </c>
      <c r="K346" s="13">
        <v>3800000</v>
      </c>
      <c r="L346" t="s">
        <v>179</v>
      </c>
      <c r="M346" t="s">
        <v>344</v>
      </c>
    </row>
    <row r="347" spans="2:13" x14ac:dyDescent="0.4">
      <c r="B347" s="2">
        <v>3620</v>
      </c>
      <c r="C347" s="6" t="s">
        <v>160</v>
      </c>
      <c r="D347" s="10" t="s">
        <v>34</v>
      </c>
      <c r="E347" s="10">
        <v>1</v>
      </c>
      <c r="F347" s="10">
        <v>1004</v>
      </c>
      <c r="G347" s="10">
        <f t="shared" si="9"/>
        <v>20</v>
      </c>
      <c r="H347" s="3">
        <v>40001</v>
      </c>
      <c r="I347" s="4" t="s">
        <v>606</v>
      </c>
      <c r="J347" s="13">
        <v>91</v>
      </c>
      <c r="K347" s="13">
        <v>4000000</v>
      </c>
      <c r="L347" t="s">
        <v>180</v>
      </c>
      <c r="M347" t="s">
        <v>345</v>
      </c>
    </row>
    <row r="348" spans="2:13" x14ac:dyDescent="0.4">
      <c r="B348" s="2">
        <v>3701</v>
      </c>
      <c r="C348" s="6" t="s">
        <v>181</v>
      </c>
      <c r="D348" s="10" t="s">
        <v>34</v>
      </c>
      <c r="E348" s="10">
        <v>1</v>
      </c>
      <c r="F348" s="10">
        <v>1004</v>
      </c>
      <c r="G348" s="10">
        <f t="shared" si="9"/>
        <v>1</v>
      </c>
      <c r="H348" s="3">
        <v>40001</v>
      </c>
      <c r="I348" s="4" t="s">
        <v>587</v>
      </c>
      <c r="J348" s="13">
        <v>91</v>
      </c>
      <c r="K348" s="13">
        <v>200000</v>
      </c>
      <c r="L348" t="s">
        <v>182</v>
      </c>
      <c r="M348" t="s">
        <v>346</v>
      </c>
    </row>
    <row r="349" spans="2:13" x14ac:dyDescent="0.4">
      <c r="B349" s="2">
        <v>3702</v>
      </c>
      <c r="C349" s="6" t="s">
        <v>181</v>
      </c>
      <c r="D349" s="10" t="s">
        <v>34</v>
      </c>
      <c r="E349" s="10">
        <v>1</v>
      </c>
      <c r="F349" s="10">
        <v>1004</v>
      </c>
      <c r="G349" s="10">
        <f t="shared" si="9"/>
        <v>2</v>
      </c>
      <c r="H349" s="3">
        <v>40001</v>
      </c>
      <c r="I349" s="4" t="s">
        <v>588</v>
      </c>
      <c r="J349" s="13">
        <v>91</v>
      </c>
      <c r="K349" s="13">
        <v>400000</v>
      </c>
      <c r="L349" t="s">
        <v>183</v>
      </c>
      <c r="M349" t="s">
        <v>347</v>
      </c>
    </row>
    <row r="350" spans="2:13" x14ac:dyDescent="0.4">
      <c r="B350" s="2">
        <v>3703</v>
      </c>
      <c r="C350" s="6" t="s">
        <v>181</v>
      </c>
      <c r="D350" s="10" t="s">
        <v>34</v>
      </c>
      <c r="E350" s="10">
        <v>1</v>
      </c>
      <c r="F350" s="10">
        <v>1004</v>
      </c>
      <c r="G350" s="10">
        <f t="shared" si="9"/>
        <v>3</v>
      </c>
      <c r="H350" s="3">
        <v>40001</v>
      </c>
      <c r="I350" s="4" t="s">
        <v>589</v>
      </c>
      <c r="J350" s="13">
        <v>91</v>
      </c>
      <c r="K350" s="13">
        <v>600000</v>
      </c>
      <c r="L350" t="s">
        <v>184</v>
      </c>
      <c r="M350" t="s">
        <v>348</v>
      </c>
    </row>
    <row r="351" spans="2:13" x14ac:dyDescent="0.4">
      <c r="B351" s="2">
        <v>3704</v>
      </c>
      <c r="C351" s="6" t="s">
        <v>181</v>
      </c>
      <c r="D351" s="10" t="s">
        <v>34</v>
      </c>
      <c r="E351" s="10">
        <v>1</v>
      </c>
      <c r="F351" s="10">
        <v>1004</v>
      </c>
      <c r="G351" s="10">
        <f t="shared" si="9"/>
        <v>4</v>
      </c>
      <c r="H351" s="3">
        <v>40001</v>
      </c>
      <c r="I351" s="4" t="s">
        <v>590</v>
      </c>
      <c r="J351" s="13">
        <v>91</v>
      </c>
      <c r="K351" s="13">
        <v>800000</v>
      </c>
      <c r="L351" t="s">
        <v>185</v>
      </c>
      <c r="M351" t="s">
        <v>349</v>
      </c>
    </row>
    <row r="352" spans="2:13" x14ac:dyDescent="0.4">
      <c r="B352" s="2">
        <v>3705</v>
      </c>
      <c r="C352" s="6" t="s">
        <v>181</v>
      </c>
      <c r="D352" s="10" t="s">
        <v>34</v>
      </c>
      <c r="E352" s="10">
        <v>1</v>
      </c>
      <c r="F352" s="10">
        <v>1004</v>
      </c>
      <c r="G352" s="10">
        <f t="shared" ref="G352:G367" si="10">G332</f>
        <v>5</v>
      </c>
      <c r="H352" s="3">
        <v>40001</v>
      </c>
      <c r="I352" s="4" t="s">
        <v>591</v>
      </c>
      <c r="J352" s="13">
        <v>91</v>
      </c>
      <c r="K352" s="13">
        <v>1000000</v>
      </c>
      <c r="L352" t="s">
        <v>186</v>
      </c>
      <c r="M352" t="s">
        <v>350</v>
      </c>
    </row>
    <row r="353" spans="2:13" x14ac:dyDescent="0.4">
      <c r="B353" s="2">
        <v>3706</v>
      </c>
      <c r="C353" s="6" t="s">
        <v>181</v>
      </c>
      <c r="D353" s="10" t="s">
        <v>34</v>
      </c>
      <c r="E353" s="10">
        <v>1</v>
      </c>
      <c r="F353" s="10">
        <v>1004</v>
      </c>
      <c r="G353" s="10">
        <f t="shared" si="10"/>
        <v>6</v>
      </c>
      <c r="H353" s="3">
        <v>40001</v>
      </c>
      <c r="I353" s="4" t="s">
        <v>592</v>
      </c>
      <c r="J353" s="13">
        <v>91</v>
      </c>
      <c r="K353" s="13">
        <v>1200000</v>
      </c>
      <c r="L353" t="s">
        <v>187</v>
      </c>
      <c r="M353" t="s">
        <v>351</v>
      </c>
    </row>
    <row r="354" spans="2:13" x14ac:dyDescent="0.4">
      <c r="B354" s="2">
        <v>3707</v>
      </c>
      <c r="C354" s="6" t="s">
        <v>181</v>
      </c>
      <c r="D354" s="10" t="s">
        <v>34</v>
      </c>
      <c r="E354" s="10">
        <v>1</v>
      </c>
      <c r="F354" s="10">
        <v>1004</v>
      </c>
      <c r="G354" s="10">
        <f t="shared" si="10"/>
        <v>7</v>
      </c>
      <c r="H354" s="3">
        <v>40001</v>
      </c>
      <c r="I354" s="4" t="s">
        <v>593</v>
      </c>
      <c r="J354" s="13">
        <v>91</v>
      </c>
      <c r="K354" s="13">
        <v>1400000</v>
      </c>
      <c r="L354" t="s">
        <v>188</v>
      </c>
      <c r="M354" t="s">
        <v>352</v>
      </c>
    </row>
    <row r="355" spans="2:13" x14ac:dyDescent="0.4">
      <c r="B355" s="2">
        <v>3708</v>
      </c>
      <c r="C355" s="6" t="s">
        <v>181</v>
      </c>
      <c r="D355" s="10" t="s">
        <v>34</v>
      </c>
      <c r="E355" s="10">
        <v>1</v>
      </c>
      <c r="F355" s="10">
        <v>1004</v>
      </c>
      <c r="G355" s="10">
        <f t="shared" si="10"/>
        <v>8</v>
      </c>
      <c r="H355" s="3">
        <v>40001</v>
      </c>
      <c r="I355" s="4" t="s">
        <v>594</v>
      </c>
      <c r="J355" s="13">
        <v>91</v>
      </c>
      <c r="K355" s="13">
        <v>1600000</v>
      </c>
      <c r="L355" t="s">
        <v>189</v>
      </c>
      <c r="M355" t="s">
        <v>353</v>
      </c>
    </row>
    <row r="356" spans="2:13" x14ac:dyDescent="0.4">
      <c r="B356" s="2">
        <v>3709</v>
      </c>
      <c r="C356" s="6" t="s">
        <v>181</v>
      </c>
      <c r="D356" s="10" t="s">
        <v>34</v>
      </c>
      <c r="E356" s="10">
        <v>1</v>
      </c>
      <c r="F356" s="10">
        <v>1004</v>
      </c>
      <c r="G356" s="10">
        <f t="shared" si="10"/>
        <v>9</v>
      </c>
      <c r="H356" s="3">
        <v>40001</v>
      </c>
      <c r="I356" s="4" t="s">
        <v>595</v>
      </c>
      <c r="J356" s="13">
        <v>91</v>
      </c>
      <c r="K356" s="13">
        <v>1800000</v>
      </c>
      <c r="L356" t="s">
        <v>190</v>
      </c>
      <c r="M356" t="s">
        <v>354</v>
      </c>
    </row>
    <row r="357" spans="2:13" x14ac:dyDescent="0.4">
      <c r="B357" s="2">
        <v>3710</v>
      </c>
      <c r="C357" s="6" t="s">
        <v>181</v>
      </c>
      <c r="D357" s="10" t="s">
        <v>34</v>
      </c>
      <c r="E357" s="10">
        <v>1</v>
      </c>
      <c r="F357" s="10">
        <v>1004</v>
      </c>
      <c r="G357" s="10">
        <f t="shared" si="10"/>
        <v>10</v>
      </c>
      <c r="H357" s="3">
        <v>40001</v>
      </c>
      <c r="I357" s="4" t="s">
        <v>596</v>
      </c>
      <c r="J357" s="13">
        <v>91</v>
      </c>
      <c r="K357" s="13">
        <v>2000000</v>
      </c>
      <c r="L357" t="s">
        <v>191</v>
      </c>
      <c r="M357" t="s">
        <v>355</v>
      </c>
    </row>
    <row r="358" spans="2:13" x14ac:dyDescent="0.4">
      <c r="B358" s="2">
        <v>3711</v>
      </c>
      <c r="C358" s="6" t="s">
        <v>181</v>
      </c>
      <c r="D358" s="10" t="s">
        <v>34</v>
      </c>
      <c r="E358" s="10">
        <v>1</v>
      </c>
      <c r="F358" s="10">
        <v>1004</v>
      </c>
      <c r="G358" s="10">
        <f t="shared" si="10"/>
        <v>11</v>
      </c>
      <c r="H358" s="3">
        <v>40001</v>
      </c>
      <c r="I358" s="4" t="s">
        <v>597</v>
      </c>
      <c r="J358" s="13">
        <v>91</v>
      </c>
      <c r="K358" s="13">
        <v>2200000</v>
      </c>
      <c r="L358" t="s">
        <v>192</v>
      </c>
      <c r="M358" t="s">
        <v>356</v>
      </c>
    </row>
    <row r="359" spans="2:13" x14ac:dyDescent="0.4">
      <c r="B359" s="2">
        <v>3712</v>
      </c>
      <c r="C359" s="6" t="s">
        <v>181</v>
      </c>
      <c r="D359" s="10" t="s">
        <v>34</v>
      </c>
      <c r="E359" s="10">
        <v>1</v>
      </c>
      <c r="F359" s="10">
        <v>1004</v>
      </c>
      <c r="G359" s="10">
        <f t="shared" si="10"/>
        <v>12</v>
      </c>
      <c r="H359" s="3">
        <v>40001</v>
      </c>
      <c r="I359" s="4" t="s">
        <v>598</v>
      </c>
      <c r="J359" s="13">
        <v>91</v>
      </c>
      <c r="K359" s="13">
        <v>2400000</v>
      </c>
      <c r="L359" t="s">
        <v>193</v>
      </c>
      <c r="M359" t="s">
        <v>357</v>
      </c>
    </row>
    <row r="360" spans="2:13" x14ac:dyDescent="0.4">
      <c r="B360" s="2">
        <v>3713</v>
      </c>
      <c r="C360" s="6" t="s">
        <v>181</v>
      </c>
      <c r="D360" s="10" t="s">
        <v>34</v>
      </c>
      <c r="E360" s="10">
        <v>1</v>
      </c>
      <c r="F360" s="10">
        <v>1004</v>
      </c>
      <c r="G360" s="10">
        <f t="shared" si="10"/>
        <v>13</v>
      </c>
      <c r="H360" s="3">
        <v>40001</v>
      </c>
      <c r="I360" s="4" t="s">
        <v>599</v>
      </c>
      <c r="J360" s="13">
        <v>91</v>
      </c>
      <c r="K360" s="13">
        <v>2600000</v>
      </c>
      <c r="L360" t="s">
        <v>194</v>
      </c>
      <c r="M360" t="s">
        <v>358</v>
      </c>
    </row>
    <row r="361" spans="2:13" x14ac:dyDescent="0.4">
      <c r="B361" s="2">
        <v>3714</v>
      </c>
      <c r="C361" s="6" t="s">
        <v>181</v>
      </c>
      <c r="D361" s="10" t="s">
        <v>34</v>
      </c>
      <c r="E361" s="10">
        <v>1</v>
      </c>
      <c r="F361" s="10">
        <v>1004</v>
      </c>
      <c r="G361" s="10">
        <f t="shared" si="10"/>
        <v>14</v>
      </c>
      <c r="H361" s="3">
        <v>40001</v>
      </c>
      <c r="I361" s="4" t="s">
        <v>600</v>
      </c>
      <c r="J361" s="13">
        <v>91</v>
      </c>
      <c r="K361" s="13">
        <v>2800000</v>
      </c>
      <c r="L361" t="s">
        <v>195</v>
      </c>
      <c r="M361" t="s">
        <v>359</v>
      </c>
    </row>
    <row r="362" spans="2:13" x14ac:dyDescent="0.4">
      <c r="B362" s="2">
        <v>3715</v>
      </c>
      <c r="C362" s="6" t="s">
        <v>181</v>
      </c>
      <c r="D362" s="10" t="s">
        <v>34</v>
      </c>
      <c r="E362" s="10">
        <v>1</v>
      </c>
      <c r="F362" s="10">
        <v>1004</v>
      </c>
      <c r="G362" s="10">
        <f t="shared" si="10"/>
        <v>15</v>
      </c>
      <c r="H362" s="3">
        <v>40001</v>
      </c>
      <c r="I362" s="4" t="s">
        <v>601</v>
      </c>
      <c r="J362" s="13">
        <v>91</v>
      </c>
      <c r="K362" s="13">
        <v>3000000</v>
      </c>
      <c r="L362" t="s">
        <v>196</v>
      </c>
      <c r="M362" t="s">
        <v>360</v>
      </c>
    </row>
    <row r="363" spans="2:13" x14ac:dyDescent="0.4">
      <c r="B363" s="2">
        <v>3716</v>
      </c>
      <c r="C363" s="6" t="s">
        <v>181</v>
      </c>
      <c r="D363" s="10" t="s">
        <v>34</v>
      </c>
      <c r="E363" s="10">
        <v>1</v>
      </c>
      <c r="F363" s="10">
        <v>1004</v>
      </c>
      <c r="G363" s="10">
        <f t="shared" si="10"/>
        <v>16</v>
      </c>
      <c r="H363" s="3">
        <v>40001</v>
      </c>
      <c r="I363" s="4" t="s">
        <v>602</v>
      </c>
      <c r="J363" s="13">
        <v>91</v>
      </c>
      <c r="K363" s="13">
        <v>3200000</v>
      </c>
      <c r="L363" t="s">
        <v>197</v>
      </c>
      <c r="M363" t="s">
        <v>361</v>
      </c>
    </row>
    <row r="364" spans="2:13" x14ac:dyDescent="0.4">
      <c r="B364" s="2">
        <v>3717</v>
      </c>
      <c r="C364" s="6" t="s">
        <v>181</v>
      </c>
      <c r="D364" s="10" t="s">
        <v>34</v>
      </c>
      <c r="E364" s="10">
        <v>1</v>
      </c>
      <c r="F364" s="10">
        <v>1004</v>
      </c>
      <c r="G364" s="10">
        <f t="shared" si="10"/>
        <v>17</v>
      </c>
      <c r="H364" s="3">
        <v>40001</v>
      </c>
      <c r="I364" s="4" t="s">
        <v>603</v>
      </c>
      <c r="J364" s="13">
        <v>91</v>
      </c>
      <c r="K364" s="13">
        <v>3400000</v>
      </c>
      <c r="L364" t="s">
        <v>198</v>
      </c>
      <c r="M364" t="s">
        <v>362</v>
      </c>
    </row>
    <row r="365" spans="2:13" x14ac:dyDescent="0.4">
      <c r="B365" s="2">
        <v>3718</v>
      </c>
      <c r="C365" s="6" t="s">
        <v>181</v>
      </c>
      <c r="D365" s="10" t="s">
        <v>34</v>
      </c>
      <c r="E365" s="10">
        <v>1</v>
      </c>
      <c r="F365" s="10">
        <v>1004</v>
      </c>
      <c r="G365" s="10">
        <f t="shared" si="10"/>
        <v>18</v>
      </c>
      <c r="H365" s="3">
        <v>40001</v>
      </c>
      <c r="I365" s="4" t="s">
        <v>604</v>
      </c>
      <c r="J365" s="13">
        <v>91</v>
      </c>
      <c r="K365" s="13">
        <v>3600000</v>
      </c>
      <c r="L365" t="s">
        <v>199</v>
      </c>
      <c r="M365" t="s">
        <v>363</v>
      </c>
    </row>
    <row r="366" spans="2:13" x14ac:dyDescent="0.4">
      <c r="B366" s="2">
        <v>3719</v>
      </c>
      <c r="C366" s="6" t="s">
        <v>181</v>
      </c>
      <c r="D366" s="10" t="s">
        <v>34</v>
      </c>
      <c r="E366" s="10">
        <v>1</v>
      </c>
      <c r="F366" s="10">
        <v>1004</v>
      </c>
      <c r="G366" s="10">
        <f t="shared" si="10"/>
        <v>19</v>
      </c>
      <c r="H366" s="3">
        <v>40001</v>
      </c>
      <c r="I366" s="4" t="s">
        <v>605</v>
      </c>
      <c r="J366" s="13">
        <v>91</v>
      </c>
      <c r="K366" s="13">
        <v>3800000</v>
      </c>
      <c r="L366" t="s">
        <v>200</v>
      </c>
      <c r="M366" t="s">
        <v>364</v>
      </c>
    </row>
    <row r="367" spans="2:13" x14ac:dyDescent="0.4">
      <c r="B367" s="2">
        <v>3720</v>
      </c>
      <c r="C367" s="6" t="s">
        <v>181</v>
      </c>
      <c r="D367" s="10" t="s">
        <v>34</v>
      </c>
      <c r="E367" s="10">
        <v>1</v>
      </c>
      <c r="F367" s="10">
        <v>1004</v>
      </c>
      <c r="G367" s="10">
        <f t="shared" si="10"/>
        <v>20</v>
      </c>
      <c r="H367" s="3">
        <v>40001</v>
      </c>
      <c r="I367" s="4" t="s">
        <v>606</v>
      </c>
      <c r="J367" s="13">
        <v>91</v>
      </c>
      <c r="K367" s="13">
        <v>4000000</v>
      </c>
      <c r="L367" t="s">
        <v>201</v>
      </c>
      <c r="M367" t="s">
        <v>365</v>
      </c>
    </row>
    <row r="368" spans="2:13" x14ac:dyDescent="0.4">
      <c r="B368" s="2">
        <v>4001</v>
      </c>
      <c r="C368" s="9" t="s">
        <v>202</v>
      </c>
      <c r="D368" s="10" t="s">
        <v>28</v>
      </c>
      <c r="E368" s="3">
        <v>1</v>
      </c>
      <c r="H368" s="3">
        <v>41001</v>
      </c>
      <c r="I368" s="11" t="s">
        <v>203</v>
      </c>
      <c r="J368" s="14" t="s">
        <v>372</v>
      </c>
      <c r="K368" s="14"/>
    </row>
    <row r="369" spans="2:11" x14ac:dyDescent="0.4">
      <c r="B369" s="2">
        <v>4002</v>
      </c>
      <c r="C369" s="9" t="s">
        <v>204</v>
      </c>
      <c r="D369" s="10" t="s">
        <v>28</v>
      </c>
      <c r="E369" s="3">
        <v>1</v>
      </c>
      <c r="H369" s="3">
        <v>41002</v>
      </c>
      <c r="I369" s="11" t="s">
        <v>205</v>
      </c>
      <c r="J369" s="14" t="s">
        <v>372</v>
      </c>
      <c r="K369" s="14"/>
    </row>
    <row r="370" spans="2:11" x14ac:dyDescent="0.4">
      <c r="B370" s="2">
        <v>5001</v>
      </c>
      <c r="C370" s="12" t="s">
        <v>374</v>
      </c>
      <c r="D370" s="9" t="s">
        <v>25</v>
      </c>
      <c r="E370" s="3">
        <v>0</v>
      </c>
      <c r="H370" s="10">
        <v>20001</v>
      </c>
      <c r="I370" s="6" t="s">
        <v>455</v>
      </c>
    </row>
    <row r="371" spans="2:11" x14ac:dyDescent="0.4">
      <c r="B371" s="2">
        <v>5002</v>
      </c>
      <c r="C371" s="12" t="s">
        <v>375</v>
      </c>
      <c r="D371" s="9" t="s">
        <v>25</v>
      </c>
      <c r="E371" s="3">
        <v>0</v>
      </c>
      <c r="H371" s="10">
        <v>21001</v>
      </c>
      <c r="I371" s="6" t="s">
        <v>456</v>
      </c>
    </row>
    <row r="372" spans="2:11" x14ac:dyDescent="0.4">
      <c r="B372" s="2">
        <v>5003</v>
      </c>
      <c r="C372" s="12" t="s">
        <v>376</v>
      </c>
      <c r="D372" s="9" t="s">
        <v>25</v>
      </c>
      <c r="E372" s="3">
        <v>0</v>
      </c>
      <c r="H372" s="10">
        <v>20001</v>
      </c>
      <c r="I372" s="6" t="s">
        <v>457</v>
      </c>
    </row>
    <row r="373" spans="2:11" x14ac:dyDescent="0.4">
      <c r="B373" s="2">
        <v>5011</v>
      </c>
      <c r="C373" s="1" t="s">
        <v>377</v>
      </c>
      <c r="D373" s="9" t="s">
        <v>25</v>
      </c>
      <c r="E373" s="3">
        <v>0</v>
      </c>
      <c r="H373" s="3">
        <f>H370</f>
        <v>20001</v>
      </c>
      <c r="I373" s="6" t="s">
        <v>458</v>
      </c>
    </row>
    <row r="374" spans="2:11" x14ac:dyDescent="0.4">
      <c r="B374" s="2">
        <v>5012</v>
      </c>
      <c r="C374" s="1" t="s">
        <v>378</v>
      </c>
      <c r="D374" s="9" t="s">
        <v>25</v>
      </c>
      <c r="E374" s="3">
        <v>0</v>
      </c>
      <c r="H374" s="3">
        <f t="shared" ref="H374:H437" si="11">H371</f>
        <v>21001</v>
      </c>
      <c r="I374" s="6" t="s">
        <v>459</v>
      </c>
    </row>
    <row r="375" spans="2:11" x14ac:dyDescent="0.4">
      <c r="B375" s="2">
        <v>5013</v>
      </c>
      <c r="C375" s="1" t="s">
        <v>379</v>
      </c>
      <c r="D375" s="9" t="s">
        <v>25</v>
      </c>
      <c r="E375" s="3">
        <v>0</v>
      </c>
      <c r="H375" s="3">
        <f t="shared" si="11"/>
        <v>20001</v>
      </c>
      <c r="I375" s="6" t="s">
        <v>460</v>
      </c>
    </row>
    <row r="376" spans="2:11" x14ac:dyDescent="0.4">
      <c r="B376" s="2">
        <v>5021</v>
      </c>
      <c r="C376" s="1" t="s">
        <v>380</v>
      </c>
      <c r="D376" s="9" t="s">
        <v>25</v>
      </c>
      <c r="E376" s="3">
        <v>0</v>
      </c>
      <c r="H376" s="3">
        <f t="shared" si="11"/>
        <v>20001</v>
      </c>
      <c r="I376" s="6" t="s">
        <v>461</v>
      </c>
    </row>
    <row r="377" spans="2:11" x14ac:dyDescent="0.4">
      <c r="B377" s="2">
        <v>5022</v>
      </c>
      <c r="C377" s="1" t="s">
        <v>381</v>
      </c>
      <c r="D377" s="9" t="s">
        <v>25</v>
      </c>
      <c r="E377" s="3">
        <v>0</v>
      </c>
      <c r="H377" s="3">
        <f t="shared" si="11"/>
        <v>21001</v>
      </c>
      <c r="I377" s="6" t="s">
        <v>462</v>
      </c>
    </row>
    <row r="378" spans="2:11" x14ac:dyDescent="0.4">
      <c r="B378" s="2">
        <v>5023</v>
      </c>
      <c r="C378" s="1" t="s">
        <v>382</v>
      </c>
      <c r="D378" s="9" t="s">
        <v>25</v>
      </c>
      <c r="E378" s="3">
        <v>0</v>
      </c>
      <c r="H378" s="3">
        <f t="shared" si="11"/>
        <v>20001</v>
      </c>
      <c r="I378" s="6" t="s">
        <v>463</v>
      </c>
    </row>
    <row r="379" spans="2:11" x14ac:dyDescent="0.4">
      <c r="B379" s="2">
        <v>5031</v>
      </c>
      <c r="C379" s="1" t="s">
        <v>383</v>
      </c>
      <c r="D379" s="9" t="s">
        <v>25</v>
      </c>
      <c r="E379" s="3">
        <v>0</v>
      </c>
      <c r="H379" s="3">
        <f t="shared" si="11"/>
        <v>20001</v>
      </c>
      <c r="I379" s="6" t="s">
        <v>464</v>
      </c>
    </row>
    <row r="380" spans="2:11" x14ac:dyDescent="0.4">
      <c r="B380" s="2">
        <v>5032</v>
      </c>
      <c r="C380" s="1" t="s">
        <v>384</v>
      </c>
      <c r="D380" s="9" t="s">
        <v>25</v>
      </c>
      <c r="E380" s="3">
        <v>0</v>
      </c>
      <c r="H380" s="3">
        <f t="shared" si="11"/>
        <v>21001</v>
      </c>
      <c r="I380" s="6" t="s">
        <v>465</v>
      </c>
    </row>
    <row r="381" spans="2:11" x14ac:dyDescent="0.4">
      <c r="B381" s="2">
        <v>5033</v>
      </c>
      <c r="C381" s="1" t="s">
        <v>385</v>
      </c>
      <c r="D381" s="9" t="s">
        <v>25</v>
      </c>
      <c r="E381" s="3">
        <v>0</v>
      </c>
      <c r="H381" s="3">
        <f t="shared" si="11"/>
        <v>20001</v>
      </c>
      <c r="I381" s="6" t="s">
        <v>466</v>
      </c>
    </row>
    <row r="382" spans="2:11" x14ac:dyDescent="0.4">
      <c r="B382" s="2">
        <v>5041</v>
      </c>
      <c r="C382" s="1" t="s">
        <v>386</v>
      </c>
      <c r="D382" s="9" t="s">
        <v>25</v>
      </c>
      <c r="E382" s="3">
        <v>0</v>
      </c>
      <c r="H382" s="3">
        <f t="shared" si="11"/>
        <v>20001</v>
      </c>
      <c r="I382" s="6" t="s">
        <v>467</v>
      </c>
    </row>
    <row r="383" spans="2:11" x14ac:dyDescent="0.4">
      <c r="B383" s="2">
        <v>5042</v>
      </c>
      <c r="C383" s="1" t="s">
        <v>387</v>
      </c>
      <c r="D383" s="9" t="s">
        <v>25</v>
      </c>
      <c r="E383" s="3">
        <v>0</v>
      </c>
      <c r="H383" s="3">
        <f t="shared" si="11"/>
        <v>21001</v>
      </c>
      <c r="I383" s="6" t="s">
        <v>468</v>
      </c>
    </row>
    <row r="384" spans="2:11" x14ac:dyDescent="0.4">
      <c r="B384" s="2">
        <v>5043</v>
      </c>
      <c r="C384" s="1" t="s">
        <v>388</v>
      </c>
      <c r="D384" s="9" t="s">
        <v>25</v>
      </c>
      <c r="E384" s="3">
        <v>0</v>
      </c>
      <c r="H384" s="3">
        <f t="shared" si="11"/>
        <v>20001</v>
      </c>
      <c r="I384" s="6" t="s">
        <v>469</v>
      </c>
    </row>
    <row r="385" spans="2:9" x14ac:dyDescent="0.4">
      <c r="B385" s="2">
        <v>5051</v>
      </c>
      <c r="C385" s="1" t="s">
        <v>389</v>
      </c>
      <c r="D385" s="9" t="s">
        <v>25</v>
      </c>
      <c r="E385" s="3">
        <v>0</v>
      </c>
      <c r="H385" s="3">
        <f t="shared" si="11"/>
        <v>20001</v>
      </c>
      <c r="I385" s="6" t="s">
        <v>470</v>
      </c>
    </row>
    <row r="386" spans="2:9" x14ac:dyDescent="0.4">
      <c r="B386" s="2">
        <v>5052</v>
      </c>
      <c r="C386" s="1" t="s">
        <v>390</v>
      </c>
      <c r="D386" s="9" t="s">
        <v>25</v>
      </c>
      <c r="E386" s="3">
        <v>0</v>
      </c>
      <c r="H386" s="3">
        <f t="shared" si="11"/>
        <v>21001</v>
      </c>
      <c r="I386" s="6" t="s">
        <v>471</v>
      </c>
    </row>
    <row r="387" spans="2:9" x14ac:dyDescent="0.4">
      <c r="B387" s="2">
        <v>5053</v>
      </c>
      <c r="C387" s="1" t="s">
        <v>391</v>
      </c>
      <c r="D387" s="9" t="s">
        <v>25</v>
      </c>
      <c r="E387" s="3">
        <v>0</v>
      </c>
      <c r="H387" s="3">
        <f t="shared" si="11"/>
        <v>20001</v>
      </c>
      <c r="I387" s="6" t="s">
        <v>472</v>
      </c>
    </row>
    <row r="388" spans="2:9" x14ac:dyDescent="0.4">
      <c r="B388" s="2">
        <v>5061</v>
      </c>
      <c r="C388" s="1" t="s">
        <v>392</v>
      </c>
      <c r="D388" s="9" t="s">
        <v>25</v>
      </c>
      <c r="E388" s="3">
        <v>0</v>
      </c>
      <c r="H388" s="3">
        <f t="shared" si="11"/>
        <v>20001</v>
      </c>
      <c r="I388" s="6" t="s">
        <v>473</v>
      </c>
    </row>
    <row r="389" spans="2:9" x14ac:dyDescent="0.4">
      <c r="B389" s="2">
        <v>5062</v>
      </c>
      <c r="C389" s="1" t="s">
        <v>393</v>
      </c>
      <c r="D389" s="9" t="s">
        <v>25</v>
      </c>
      <c r="E389" s="3">
        <v>0</v>
      </c>
      <c r="H389" s="3">
        <f t="shared" si="11"/>
        <v>21001</v>
      </c>
      <c r="I389" s="6" t="s">
        <v>474</v>
      </c>
    </row>
    <row r="390" spans="2:9" x14ac:dyDescent="0.4">
      <c r="B390" s="2">
        <v>5063</v>
      </c>
      <c r="C390" s="1" t="s">
        <v>394</v>
      </c>
      <c r="D390" s="9" t="s">
        <v>25</v>
      </c>
      <c r="E390" s="3">
        <v>0</v>
      </c>
      <c r="H390" s="3">
        <f t="shared" si="11"/>
        <v>20001</v>
      </c>
      <c r="I390" s="6" t="s">
        <v>475</v>
      </c>
    </row>
    <row r="391" spans="2:9" x14ac:dyDescent="0.4">
      <c r="B391" s="2">
        <v>5071</v>
      </c>
      <c r="C391" s="1" t="s">
        <v>395</v>
      </c>
      <c r="D391" s="9" t="s">
        <v>25</v>
      </c>
      <c r="E391" s="3">
        <v>0</v>
      </c>
      <c r="H391" s="3">
        <f t="shared" si="11"/>
        <v>20001</v>
      </c>
      <c r="I391" s="6" t="s">
        <v>476</v>
      </c>
    </row>
    <row r="392" spans="2:9" x14ac:dyDescent="0.4">
      <c r="B392" s="2">
        <v>5072</v>
      </c>
      <c r="C392" s="1" t="s">
        <v>396</v>
      </c>
      <c r="D392" s="9" t="s">
        <v>25</v>
      </c>
      <c r="E392" s="3">
        <v>0</v>
      </c>
      <c r="H392" s="3">
        <f t="shared" si="11"/>
        <v>21001</v>
      </c>
      <c r="I392" s="6" t="s">
        <v>477</v>
      </c>
    </row>
    <row r="393" spans="2:9" x14ac:dyDescent="0.4">
      <c r="B393" s="2">
        <v>5073</v>
      </c>
      <c r="C393" s="1" t="s">
        <v>397</v>
      </c>
      <c r="D393" s="9" t="s">
        <v>25</v>
      </c>
      <c r="E393" s="3">
        <v>0</v>
      </c>
      <c r="H393" s="3">
        <f t="shared" si="11"/>
        <v>20001</v>
      </c>
      <c r="I393" s="6" t="s">
        <v>478</v>
      </c>
    </row>
    <row r="394" spans="2:9" x14ac:dyDescent="0.4">
      <c r="B394" s="2">
        <v>5081</v>
      </c>
      <c r="C394" s="1" t="s">
        <v>398</v>
      </c>
      <c r="D394" s="9" t="s">
        <v>25</v>
      </c>
      <c r="E394" s="3">
        <v>0</v>
      </c>
      <c r="H394" s="3">
        <f t="shared" si="11"/>
        <v>20001</v>
      </c>
      <c r="I394" s="6" t="s">
        <v>479</v>
      </c>
    </row>
    <row r="395" spans="2:9" x14ac:dyDescent="0.4">
      <c r="B395" s="2">
        <v>5082</v>
      </c>
      <c r="C395" s="1" t="s">
        <v>399</v>
      </c>
      <c r="D395" s="9" t="s">
        <v>25</v>
      </c>
      <c r="E395" s="3">
        <v>0</v>
      </c>
      <c r="H395" s="3">
        <f t="shared" si="11"/>
        <v>21001</v>
      </c>
      <c r="I395" s="6" t="s">
        <v>480</v>
      </c>
    </row>
    <row r="396" spans="2:9" x14ac:dyDescent="0.4">
      <c r="B396" s="2">
        <v>5083</v>
      </c>
      <c r="C396" s="1" t="s">
        <v>400</v>
      </c>
      <c r="D396" s="9" t="s">
        <v>25</v>
      </c>
      <c r="E396" s="3">
        <v>0</v>
      </c>
      <c r="H396" s="3">
        <f t="shared" si="11"/>
        <v>20001</v>
      </c>
      <c r="I396" s="6" t="s">
        <v>481</v>
      </c>
    </row>
    <row r="397" spans="2:9" x14ac:dyDescent="0.4">
      <c r="B397" s="2">
        <v>5091</v>
      </c>
      <c r="C397" s="1" t="s">
        <v>401</v>
      </c>
      <c r="D397" s="9" t="s">
        <v>25</v>
      </c>
      <c r="E397" s="3">
        <v>0</v>
      </c>
      <c r="H397" s="3">
        <f t="shared" si="11"/>
        <v>20001</v>
      </c>
      <c r="I397" s="6" t="s">
        <v>482</v>
      </c>
    </row>
    <row r="398" spans="2:9" x14ac:dyDescent="0.4">
      <c r="B398" s="2">
        <v>5092</v>
      </c>
      <c r="C398" s="1" t="s">
        <v>402</v>
      </c>
      <c r="D398" s="9" t="s">
        <v>25</v>
      </c>
      <c r="E398" s="3">
        <v>0</v>
      </c>
      <c r="H398" s="3">
        <f t="shared" si="11"/>
        <v>21001</v>
      </c>
      <c r="I398" s="6" t="s">
        <v>483</v>
      </c>
    </row>
    <row r="399" spans="2:9" x14ac:dyDescent="0.4">
      <c r="B399" s="2">
        <v>5093</v>
      </c>
      <c r="C399" t="s">
        <v>403</v>
      </c>
      <c r="D399" s="9" t="s">
        <v>25</v>
      </c>
      <c r="E399" s="3">
        <v>0</v>
      </c>
      <c r="H399" s="3">
        <f t="shared" si="11"/>
        <v>20001</v>
      </c>
      <c r="I399" s="6" t="s">
        <v>484</v>
      </c>
    </row>
    <row r="400" spans="2:9" x14ac:dyDescent="0.4">
      <c r="B400" s="2">
        <v>5101</v>
      </c>
      <c r="C400" t="s">
        <v>404</v>
      </c>
      <c r="D400" s="9" t="s">
        <v>25</v>
      </c>
      <c r="E400" s="3">
        <v>0</v>
      </c>
      <c r="H400" s="3">
        <f t="shared" si="11"/>
        <v>20001</v>
      </c>
      <c r="I400" s="6" t="s">
        <v>485</v>
      </c>
    </row>
    <row r="401" spans="2:9" x14ac:dyDescent="0.4">
      <c r="B401" s="2">
        <v>5102</v>
      </c>
      <c r="C401" t="s">
        <v>405</v>
      </c>
      <c r="D401" s="9" t="s">
        <v>25</v>
      </c>
      <c r="E401" s="3">
        <v>0</v>
      </c>
      <c r="H401" s="3">
        <f t="shared" si="11"/>
        <v>21001</v>
      </c>
      <c r="I401" s="6" t="s">
        <v>486</v>
      </c>
    </row>
    <row r="402" spans="2:9" x14ac:dyDescent="0.4">
      <c r="B402" s="2">
        <v>5103</v>
      </c>
      <c r="C402" t="s">
        <v>406</v>
      </c>
      <c r="D402" s="9" t="s">
        <v>25</v>
      </c>
      <c r="E402" s="3">
        <v>0</v>
      </c>
      <c r="H402" s="3">
        <f t="shared" si="11"/>
        <v>20001</v>
      </c>
      <c r="I402" s="6" t="s">
        <v>487</v>
      </c>
    </row>
    <row r="403" spans="2:9" x14ac:dyDescent="0.4">
      <c r="B403" s="2">
        <v>5111</v>
      </c>
      <c r="C403" t="s">
        <v>407</v>
      </c>
      <c r="D403" s="9" t="s">
        <v>25</v>
      </c>
      <c r="E403" s="3">
        <v>0</v>
      </c>
      <c r="H403" s="3">
        <f t="shared" si="11"/>
        <v>20001</v>
      </c>
      <c r="I403" s="6" t="s">
        <v>488</v>
      </c>
    </row>
    <row r="404" spans="2:9" x14ac:dyDescent="0.4">
      <c r="B404" s="2">
        <v>5112</v>
      </c>
      <c r="C404" t="s">
        <v>408</v>
      </c>
      <c r="D404" s="9" t="s">
        <v>25</v>
      </c>
      <c r="E404" s="3">
        <v>0</v>
      </c>
      <c r="H404" s="3">
        <f t="shared" si="11"/>
        <v>21001</v>
      </c>
      <c r="I404" s="6" t="s">
        <v>489</v>
      </c>
    </row>
    <row r="405" spans="2:9" x14ac:dyDescent="0.4">
      <c r="B405" s="2">
        <v>5113</v>
      </c>
      <c r="C405" t="s">
        <v>409</v>
      </c>
      <c r="D405" s="9" t="s">
        <v>25</v>
      </c>
      <c r="E405" s="3">
        <v>0</v>
      </c>
      <c r="H405" s="3">
        <f t="shared" si="11"/>
        <v>20001</v>
      </c>
      <c r="I405" s="6" t="s">
        <v>490</v>
      </c>
    </row>
    <row r="406" spans="2:9" x14ac:dyDescent="0.4">
      <c r="B406" s="2">
        <v>5121</v>
      </c>
      <c r="C406" t="s">
        <v>410</v>
      </c>
      <c r="D406" s="9" t="s">
        <v>25</v>
      </c>
      <c r="E406" s="3">
        <v>0</v>
      </c>
      <c r="H406" s="3">
        <f t="shared" si="11"/>
        <v>20001</v>
      </c>
      <c r="I406" s="6" t="s">
        <v>491</v>
      </c>
    </row>
    <row r="407" spans="2:9" x14ac:dyDescent="0.4">
      <c r="B407" s="2">
        <v>5122</v>
      </c>
      <c r="C407" t="s">
        <v>411</v>
      </c>
      <c r="D407" s="9" t="s">
        <v>25</v>
      </c>
      <c r="E407" s="3">
        <v>0</v>
      </c>
      <c r="H407" s="3">
        <f t="shared" si="11"/>
        <v>21001</v>
      </c>
      <c r="I407" s="6" t="s">
        <v>492</v>
      </c>
    </row>
    <row r="408" spans="2:9" x14ac:dyDescent="0.4">
      <c r="B408" s="2">
        <v>5123</v>
      </c>
      <c r="C408" t="s">
        <v>412</v>
      </c>
      <c r="D408" s="9" t="s">
        <v>25</v>
      </c>
      <c r="E408" s="3">
        <v>0</v>
      </c>
      <c r="H408" s="3">
        <f t="shared" si="11"/>
        <v>20001</v>
      </c>
      <c r="I408" s="6" t="s">
        <v>493</v>
      </c>
    </row>
    <row r="409" spans="2:9" x14ac:dyDescent="0.4">
      <c r="B409" s="2">
        <v>5131</v>
      </c>
      <c r="C409" t="s">
        <v>413</v>
      </c>
      <c r="D409" s="9" t="s">
        <v>25</v>
      </c>
      <c r="E409" s="3">
        <v>0</v>
      </c>
      <c r="H409" s="3">
        <f t="shared" si="11"/>
        <v>20001</v>
      </c>
      <c r="I409" s="6" t="s">
        <v>494</v>
      </c>
    </row>
    <row r="410" spans="2:9" x14ac:dyDescent="0.4">
      <c r="B410" s="2">
        <v>5132</v>
      </c>
      <c r="C410" t="s">
        <v>414</v>
      </c>
      <c r="D410" s="9" t="s">
        <v>25</v>
      </c>
      <c r="E410" s="3">
        <v>0</v>
      </c>
      <c r="H410" s="3">
        <f t="shared" si="11"/>
        <v>21001</v>
      </c>
      <c r="I410" s="6" t="s">
        <v>495</v>
      </c>
    </row>
    <row r="411" spans="2:9" x14ac:dyDescent="0.4">
      <c r="B411" s="2">
        <v>5133</v>
      </c>
      <c r="C411" t="s">
        <v>415</v>
      </c>
      <c r="D411" s="9" t="s">
        <v>25</v>
      </c>
      <c r="E411" s="3">
        <v>0</v>
      </c>
      <c r="H411" s="3">
        <f t="shared" si="11"/>
        <v>20001</v>
      </c>
      <c r="I411" s="6" t="s">
        <v>496</v>
      </c>
    </row>
    <row r="412" spans="2:9" x14ac:dyDescent="0.4">
      <c r="B412" s="2">
        <v>5141</v>
      </c>
      <c r="C412" t="s">
        <v>416</v>
      </c>
      <c r="D412" s="9" t="s">
        <v>25</v>
      </c>
      <c r="E412" s="3">
        <v>0</v>
      </c>
      <c r="H412" s="3">
        <f t="shared" si="11"/>
        <v>20001</v>
      </c>
      <c r="I412" s="6" t="s">
        <v>497</v>
      </c>
    </row>
    <row r="413" spans="2:9" x14ac:dyDescent="0.4">
      <c r="B413" s="2">
        <v>5142</v>
      </c>
      <c r="C413" t="s">
        <v>417</v>
      </c>
      <c r="D413" s="9" t="s">
        <v>25</v>
      </c>
      <c r="E413" s="3">
        <v>0</v>
      </c>
      <c r="H413" s="3">
        <f t="shared" si="11"/>
        <v>21001</v>
      </c>
      <c r="I413" s="6" t="s">
        <v>498</v>
      </c>
    </row>
    <row r="414" spans="2:9" x14ac:dyDescent="0.4">
      <c r="B414" s="2">
        <v>5143</v>
      </c>
      <c r="C414" t="s">
        <v>418</v>
      </c>
      <c r="D414" s="9" t="s">
        <v>25</v>
      </c>
      <c r="E414" s="3">
        <v>0</v>
      </c>
      <c r="H414" s="3">
        <f t="shared" si="11"/>
        <v>20001</v>
      </c>
      <c r="I414" s="6" t="s">
        <v>499</v>
      </c>
    </row>
    <row r="415" spans="2:9" x14ac:dyDescent="0.4">
      <c r="B415" s="2">
        <v>5151</v>
      </c>
      <c r="C415" t="s">
        <v>419</v>
      </c>
      <c r="D415" s="9" t="s">
        <v>25</v>
      </c>
      <c r="E415" s="3">
        <v>0</v>
      </c>
      <c r="H415" s="3">
        <f t="shared" si="11"/>
        <v>20001</v>
      </c>
      <c r="I415" s="6" t="s">
        <v>500</v>
      </c>
    </row>
    <row r="416" spans="2:9" x14ac:dyDescent="0.4">
      <c r="B416" s="2">
        <v>5152</v>
      </c>
      <c r="C416" t="s">
        <v>420</v>
      </c>
      <c r="D416" s="9" t="s">
        <v>25</v>
      </c>
      <c r="E416" s="3">
        <v>0</v>
      </c>
      <c r="H416" s="3">
        <f t="shared" si="11"/>
        <v>21001</v>
      </c>
      <c r="I416" s="6" t="s">
        <v>501</v>
      </c>
    </row>
    <row r="417" spans="2:9" x14ac:dyDescent="0.4">
      <c r="B417" s="2">
        <v>5153</v>
      </c>
      <c r="C417" t="s">
        <v>421</v>
      </c>
      <c r="D417" s="9" t="s">
        <v>25</v>
      </c>
      <c r="E417" s="3">
        <v>0</v>
      </c>
      <c r="H417" s="3">
        <f t="shared" si="11"/>
        <v>20001</v>
      </c>
      <c r="I417" s="6" t="s">
        <v>502</v>
      </c>
    </row>
    <row r="418" spans="2:9" x14ac:dyDescent="0.4">
      <c r="B418" s="2">
        <v>5161</v>
      </c>
      <c r="C418" t="s">
        <v>422</v>
      </c>
      <c r="D418" s="9" t="s">
        <v>25</v>
      </c>
      <c r="E418" s="3">
        <v>0</v>
      </c>
      <c r="H418" s="3">
        <f t="shared" si="11"/>
        <v>20001</v>
      </c>
      <c r="I418" s="6" t="s">
        <v>503</v>
      </c>
    </row>
    <row r="419" spans="2:9" x14ac:dyDescent="0.4">
      <c r="B419" s="2">
        <v>5162</v>
      </c>
      <c r="C419" t="s">
        <v>423</v>
      </c>
      <c r="D419" s="9" t="s">
        <v>25</v>
      </c>
      <c r="E419" s="3">
        <v>0</v>
      </c>
      <c r="H419" s="3">
        <f t="shared" si="11"/>
        <v>21001</v>
      </c>
      <c r="I419" s="6" t="s">
        <v>504</v>
      </c>
    </row>
    <row r="420" spans="2:9" x14ac:dyDescent="0.4">
      <c r="B420" s="2">
        <v>5163</v>
      </c>
      <c r="C420" t="s">
        <v>424</v>
      </c>
      <c r="D420" s="9" t="s">
        <v>25</v>
      </c>
      <c r="E420" s="3">
        <v>0</v>
      </c>
      <c r="H420" s="3">
        <f t="shared" si="11"/>
        <v>20001</v>
      </c>
      <c r="I420" s="6" t="s">
        <v>505</v>
      </c>
    </row>
    <row r="421" spans="2:9" x14ac:dyDescent="0.4">
      <c r="B421" s="2">
        <v>5171</v>
      </c>
      <c r="C421" t="s">
        <v>425</v>
      </c>
      <c r="D421" s="9" t="s">
        <v>25</v>
      </c>
      <c r="E421" s="3">
        <v>0</v>
      </c>
      <c r="H421" s="3">
        <f t="shared" si="11"/>
        <v>20001</v>
      </c>
      <c r="I421" s="6" t="s">
        <v>506</v>
      </c>
    </row>
    <row r="422" spans="2:9" x14ac:dyDescent="0.4">
      <c r="B422" s="2">
        <v>5172</v>
      </c>
      <c r="C422" t="s">
        <v>426</v>
      </c>
      <c r="D422" s="9" t="s">
        <v>25</v>
      </c>
      <c r="E422" s="3">
        <v>0</v>
      </c>
      <c r="H422" s="3">
        <f t="shared" si="11"/>
        <v>21001</v>
      </c>
      <c r="I422" s="6" t="s">
        <v>507</v>
      </c>
    </row>
    <row r="423" spans="2:9" x14ac:dyDescent="0.4">
      <c r="B423" s="2">
        <v>5173</v>
      </c>
      <c r="C423" t="s">
        <v>427</v>
      </c>
      <c r="D423" s="9" t="s">
        <v>25</v>
      </c>
      <c r="E423" s="3">
        <v>0</v>
      </c>
      <c r="H423" s="3">
        <f t="shared" si="11"/>
        <v>20001</v>
      </c>
      <c r="I423" s="6" t="s">
        <v>508</v>
      </c>
    </row>
    <row r="424" spans="2:9" x14ac:dyDescent="0.4">
      <c r="B424" s="2">
        <v>5181</v>
      </c>
      <c r="C424" t="s">
        <v>428</v>
      </c>
      <c r="D424" s="9" t="s">
        <v>25</v>
      </c>
      <c r="E424" s="3">
        <v>0</v>
      </c>
      <c r="H424" s="3">
        <f t="shared" si="11"/>
        <v>20001</v>
      </c>
      <c r="I424" s="6" t="s">
        <v>509</v>
      </c>
    </row>
    <row r="425" spans="2:9" x14ac:dyDescent="0.4">
      <c r="B425" s="2">
        <v>5182</v>
      </c>
      <c r="C425" t="s">
        <v>429</v>
      </c>
      <c r="D425" s="9" t="s">
        <v>25</v>
      </c>
      <c r="E425" s="3">
        <v>0</v>
      </c>
      <c r="H425" s="3">
        <f t="shared" si="11"/>
        <v>21001</v>
      </c>
      <c r="I425" s="6" t="s">
        <v>510</v>
      </c>
    </row>
    <row r="426" spans="2:9" x14ac:dyDescent="0.4">
      <c r="B426" s="2">
        <v>5183</v>
      </c>
      <c r="C426" t="s">
        <v>430</v>
      </c>
      <c r="D426" s="9" t="s">
        <v>25</v>
      </c>
      <c r="E426" s="3">
        <v>0</v>
      </c>
      <c r="H426" s="3">
        <f t="shared" si="11"/>
        <v>20001</v>
      </c>
      <c r="I426" s="6" t="s">
        <v>511</v>
      </c>
    </row>
    <row r="427" spans="2:9" x14ac:dyDescent="0.4">
      <c r="B427" s="2">
        <v>5191</v>
      </c>
      <c r="C427" t="s">
        <v>431</v>
      </c>
      <c r="D427" s="9" t="s">
        <v>25</v>
      </c>
      <c r="E427" s="3">
        <v>0</v>
      </c>
      <c r="H427" s="3">
        <f t="shared" si="11"/>
        <v>20001</v>
      </c>
      <c r="I427" s="6" t="s">
        <v>512</v>
      </c>
    </row>
    <row r="428" spans="2:9" x14ac:dyDescent="0.4">
      <c r="B428" s="2">
        <v>5192</v>
      </c>
      <c r="C428" t="s">
        <v>432</v>
      </c>
      <c r="D428" s="9" t="s">
        <v>25</v>
      </c>
      <c r="E428" s="3">
        <v>0</v>
      </c>
      <c r="H428" s="3">
        <f t="shared" si="11"/>
        <v>21001</v>
      </c>
      <c r="I428" s="6" t="s">
        <v>513</v>
      </c>
    </row>
    <row r="429" spans="2:9" x14ac:dyDescent="0.4">
      <c r="B429" s="2">
        <v>5193</v>
      </c>
      <c r="C429" t="s">
        <v>433</v>
      </c>
      <c r="D429" s="9" t="s">
        <v>25</v>
      </c>
      <c r="E429" s="3">
        <v>0</v>
      </c>
      <c r="H429" s="3">
        <f t="shared" si="11"/>
        <v>20001</v>
      </c>
      <c r="I429" s="6" t="s">
        <v>514</v>
      </c>
    </row>
    <row r="430" spans="2:9" x14ac:dyDescent="0.4">
      <c r="B430" s="2">
        <v>5201</v>
      </c>
      <c r="C430" t="s">
        <v>434</v>
      </c>
      <c r="D430" s="9" t="s">
        <v>25</v>
      </c>
      <c r="E430" s="3">
        <v>0</v>
      </c>
      <c r="H430" s="3">
        <f t="shared" si="11"/>
        <v>20001</v>
      </c>
      <c r="I430" s="6" t="s">
        <v>515</v>
      </c>
    </row>
    <row r="431" spans="2:9" x14ac:dyDescent="0.4">
      <c r="B431" s="2">
        <v>5202</v>
      </c>
      <c r="C431" t="s">
        <v>435</v>
      </c>
      <c r="D431" s="9" t="s">
        <v>25</v>
      </c>
      <c r="E431" s="3">
        <v>0</v>
      </c>
      <c r="H431" s="3">
        <f t="shared" si="11"/>
        <v>21001</v>
      </c>
      <c r="I431" s="6" t="s">
        <v>516</v>
      </c>
    </row>
    <row r="432" spans="2:9" x14ac:dyDescent="0.4">
      <c r="B432" s="2">
        <v>5203</v>
      </c>
      <c r="C432" t="s">
        <v>436</v>
      </c>
      <c r="D432" s="9" t="s">
        <v>25</v>
      </c>
      <c r="E432" s="3">
        <v>0</v>
      </c>
      <c r="H432" s="3">
        <f t="shared" si="11"/>
        <v>20001</v>
      </c>
      <c r="I432" s="6" t="s">
        <v>517</v>
      </c>
    </row>
    <row r="433" spans="2:9" x14ac:dyDescent="0.4">
      <c r="B433" s="2">
        <v>5211</v>
      </c>
      <c r="C433" t="s">
        <v>437</v>
      </c>
      <c r="D433" s="9" t="s">
        <v>25</v>
      </c>
      <c r="E433" s="3">
        <v>0</v>
      </c>
      <c r="H433" s="3">
        <f t="shared" si="11"/>
        <v>20001</v>
      </c>
      <c r="I433" s="6" t="s">
        <v>518</v>
      </c>
    </row>
    <row r="434" spans="2:9" x14ac:dyDescent="0.4">
      <c r="B434" s="2">
        <v>5212</v>
      </c>
      <c r="C434" t="s">
        <v>438</v>
      </c>
      <c r="D434" s="9" t="s">
        <v>25</v>
      </c>
      <c r="E434" s="3">
        <v>0</v>
      </c>
      <c r="H434" s="3">
        <f t="shared" si="11"/>
        <v>21001</v>
      </c>
      <c r="I434" s="6" t="s">
        <v>519</v>
      </c>
    </row>
    <row r="435" spans="2:9" x14ac:dyDescent="0.4">
      <c r="B435" s="2">
        <v>5213</v>
      </c>
      <c r="C435" t="s">
        <v>439</v>
      </c>
      <c r="D435" s="9" t="s">
        <v>25</v>
      </c>
      <c r="E435" s="3">
        <v>0</v>
      </c>
      <c r="H435" s="3">
        <f t="shared" si="11"/>
        <v>20001</v>
      </c>
      <c r="I435" s="6" t="s">
        <v>520</v>
      </c>
    </row>
    <row r="436" spans="2:9" x14ac:dyDescent="0.4">
      <c r="B436" s="2">
        <v>5221</v>
      </c>
      <c r="C436" t="s">
        <v>440</v>
      </c>
      <c r="D436" s="9" t="s">
        <v>25</v>
      </c>
      <c r="E436" s="3">
        <v>0</v>
      </c>
      <c r="H436" s="3">
        <f t="shared" si="11"/>
        <v>20001</v>
      </c>
      <c r="I436" s="6" t="s">
        <v>521</v>
      </c>
    </row>
    <row r="437" spans="2:9" x14ac:dyDescent="0.4">
      <c r="B437" s="2">
        <v>5222</v>
      </c>
      <c r="C437" t="s">
        <v>441</v>
      </c>
      <c r="D437" s="9" t="s">
        <v>25</v>
      </c>
      <c r="E437" s="3">
        <v>0</v>
      </c>
      <c r="H437" s="3">
        <f t="shared" si="11"/>
        <v>21001</v>
      </c>
      <c r="I437" s="6" t="s">
        <v>522</v>
      </c>
    </row>
    <row r="438" spans="2:9" x14ac:dyDescent="0.4">
      <c r="B438" s="2">
        <v>5223</v>
      </c>
      <c r="C438" t="s">
        <v>442</v>
      </c>
      <c r="D438" s="9" t="s">
        <v>25</v>
      </c>
      <c r="E438" s="3">
        <v>0</v>
      </c>
      <c r="H438" s="3">
        <f t="shared" ref="H438:H450" si="12">H435</f>
        <v>20001</v>
      </c>
      <c r="I438" s="6" t="s">
        <v>523</v>
      </c>
    </row>
    <row r="439" spans="2:9" x14ac:dyDescent="0.4">
      <c r="B439" s="2">
        <v>5231</v>
      </c>
      <c r="C439" t="s">
        <v>443</v>
      </c>
      <c r="D439" s="9" t="s">
        <v>25</v>
      </c>
      <c r="E439" s="3">
        <v>0</v>
      </c>
      <c r="H439" s="3">
        <f t="shared" si="12"/>
        <v>20001</v>
      </c>
      <c r="I439" s="6" t="s">
        <v>524</v>
      </c>
    </row>
    <row r="440" spans="2:9" x14ac:dyDescent="0.4">
      <c r="B440" s="2">
        <v>5232</v>
      </c>
      <c r="C440" t="s">
        <v>444</v>
      </c>
      <c r="D440" s="9" t="s">
        <v>25</v>
      </c>
      <c r="E440" s="3">
        <v>0</v>
      </c>
      <c r="H440" s="3">
        <f t="shared" si="12"/>
        <v>21001</v>
      </c>
      <c r="I440" s="6" t="s">
        <v>525</v>
      </c>
    </row>
    <row r="441" spans="2:9" x14ac:dyDescent="0.4">
      <c r="B441" s="2">
        <v>5233</v>
      </c>
      <c r="C441" t="s">
        <v>445</v>
      </c>
      <c r="D441" s="9" t="s">
        <v>25</v>
      </c>
      <c r="E441" s="3">
        <v>0</v>
      </c>
      <c r="H441" s="3">
        <f t="shared" si="12"/>
        <v>20001</v>
      </c>
      <c r="I441" s="6" t="s">
        <v>526</v>
      </c>
    </row>
    <row r="442" spans="2:9" x14ac:dyDescent="0.4">
      <c r="B442" s="2">
        <v>5241</v>
      </c>
      <c r="C442" t="s">
        <v>446</v>
      </c>
      <c r="D442" s="9" t="s">
        <v>25</v>
      </c>
      <c r="E442" s="3">
        <v>0</v>
      </c>
      <c r="H442" s="3">
        <f t="shared" si="12"/>
        <v>20001</v>
      </c>
      <c r="I442" s="6" t="s">
        <v>527</v>
      </c>
    </row>
    <row r="443" spans="2:9" x14ac:dyDescent="0.4">
      <c r="B443" s="2">
        <v>5242</v>
      </c>
      <c r="C443" t="s">
        <v>447</v>
      </c>
      <c r="D443" s="9" t="s">
        <v>25</v>
      </c>
      <c r="E443" s="3">
        <v>0</v>
      </c>
      <c r="H443" s="3">
        <f t="shared" si="12"/>
        <v>21001</v>
      </c>
      <c r="I443" s="6" t="s">
        <v>528</v>
      </c>
    </row>
    <row r="444" spans="2:9" x14ac:dyDescent="0.4">
      <c r="B444" s="2">
        <v>5243</v>
      </c>
      <c r="C444" t="s">
        <v>448</v>
      </c>
      <c r="D444" s="9" t="s">
        <v>25</v>
      </c>
      <c r="E444" s="3">
        <v>0</v>
      </c>
      <c r="H444" s="3">
        <f t="shared" si="12"/>
        <v>20001</v>
      </c>
      <c r="I444" s="6" t="s">
        <v>529</v>
      </c>
    </row>
    <row r="445" spans="2:9" x14ac:dyDescent="0.4">
      <c r="B445" s="2">
        <v>5251</v>
      </c>
      <c r="C445" t="s">
        <v>449</v>
      </c>
      <c r="D445" s="9" t="s">
        <v>25</v>
      </c>
      <c r="E445" s="3">
        <v>0</v>
      </c>
      <c r="H445" s="3">
        <f t="shared" si="12"/>
        <v>20001</v>
      </c>
      <c r="I445" s="6" t="s">
        <v>530</v>
      </c>
    </row>
    <row r="446" spans="2:9" x14ac:dyDescent="0.4">
      <c r="B446" s="2">
        <v>5252</v>
      </c>
      <c r="C446" t="s">
        <v>450</v>
      </c>
      <c r="D446" s="9" t="s">
        <v>25</v>
      </c>
      <c r="E446" s="3">
        <v>0</v>
      </c>
      <c r="H446" s="3">
        <f t="shared" si="12"/>
        <v>21001</v>
      </c>
      <c r="I446" s="6" t="s">
        <v>531</v>
      </c>
    </row>
    <row r="447" spans="2:9" x14ac:dyDescent="0.4">
      <c r="B447" s="2">
        <v>5253</v>
      </c>
      <c r="C447" t="s">
        <v>451</v>
      </c>
      <c r="D447" s="9" t="s">
        <v>25</v>
      </c>
      <c r="E447" s="3">
        <v>0</v>
      </c>
      <c r="H447" s="3">
        <f t="shared" si="12"/>
        <v>20001</v>
      </c>
      <c r="I447" s="6" t="s">
        <v>532</v>
      </c>
    </row>
    <row r="448" spans="2:9" x14ac:dyDescent="0.4">
      <c r="B448" s="2">
        <v>5261</v>
      </c>
      <c r="C448" t="s">
        <v>452</v>
      </c>
      <c r="D448" s="9" t="s">
        <v>25</v>
      </c>
      <c r="E448" s="3">
        <v>0</v>
      </c>
      <c r="H448" s="3">
        <f t="shared" si="12"/>
        <v>20001</v>
      </c>
      <c r="I448" s="6" t="s">
        <v>533</v>
      </c>
    </row>
    <row r="449" spans="2:12" x14ac:dyDescent="0.4">
      <c r="B449" s="2">
        <v>5262</v>
      </c>
      <c r="C449" t="s">
        <v>453</v>
      </c>
      <c r="D449" s="9" t="s">
        <v>25</v>
      </c>
      <c r="E449" s="3">
        <v>0</v>
      </c>
      <c r="H449" s="3">
        <f t="shared" si="12"/>
        <v>21001</v>
      </c>
      <c r="I449" s="6" t="s">
        <v>534</v>
      </c>
    </row>
    <row r="450" spans="2:12" x14ac:dyDescent="0.4">
      <c r="B450" s="2">
        <v>5263</v>
      </c>
      <c r="C450" t="s">
        <v>454</v>
      </c>
      <c r="D450" s="9" t="s">
        <v>25</v>
      </c>
      <c r="E450" s="3">
        <v>0</v>
      </c>
      <c r="H450" s="3">
        <f t="shared" si="12"/>
        <v>20001</v>
      </c>
      <c r="I450" s="6" t="s">
        <v>535</v>
      </c>
    </row>
    <row r="451" spans="2:12" x14ac:dyDescent="0.4">
      <c r="B451" s="2">
        <v>6001</v>
      </c>
      <c r="C451" s="9" t="s">
        <v>536</v>
      </c>
      <c r="D451" s="16" t="s">
        <v>540</v>
      </c>
      <c r="E451" s="10">
        <v>2</v>
      </c>
      <c r="F451" s="10">
        <v>4001</v>
      </c>
      <c r="G451" s="10"/>
      <c r="H451" s="3">
        <v>32001</v>
      </c>
      <c r="I451" s="7" t="s">
        <v>541</v>
      </c>
      <c r="J451" s="13">
        <v>90</v>
      </c>
      <c r="K451" s="13"/>
      <c r="L451" s="1">
        <v>40001</v>
      </c>
    </row>
    <row r="452" spans="2:12" x14ac:dyDescent="0.4">
      <c r="B452" s="2">
        <v>6002</v>
      </c>
      <c r="C452" s="9" t="s">
        <v>536</v>
      </c>
      <c r="D452" s="16" t="s">
        <v>540</v>
      </c>
      <c r="E452" s="10">
        <v>2</v>
      </c>
      <c r="F452" s="10">
        <v>4001</v>
      </c>
      <c r="G452" s="10"/>
      <c r="H452" s="3">
        <v>32001</v>
      </c>
      <c r="I452" s="15" t="s">
        <v>542</v>
      </c>
      <c r="J452" s="13">
        <v>90</v>
      </c>
      <c r="K452" s="13"/>
      <c r="L452" s="1">
        <v>40002</v>
      </c>
    </row>
    <row r="453" spans="2:12" x14ac:dyDescent="0.4">
      <c r="B453" s="2">
        <v>6003</v>
      </c>
      <c r="C453" s="9" t="s">
        <v>536</v>
      </c>
      <c r="D453" s="16" t="s">
        <v>540</v>
      </c>
      <c r="E453" s="10">
        <v>2</v>
      </c>
      <c r="F453" s="10">
        <v>4001</v>
      </c>
      <c r="G453" s="10"/>
      <c r="H453" s="3">
        <v>32001</v>
      </c>
      <c r="I453" s="15" t="s">
        <v>543</v>
      </c>
      <c r="J453" s="13">
        <v>90</v>
      </c>
      <c r="K453" s="13"/>
      <c r="L453" s="1">
        <v>40003</v>
      </c>
    </row>
    <row r="454" spans="2:12" x14ac:dyDescent="0.4">
      <c r="B454" s="2">
        <v>6004</v>
      </c>
      <c r="C454" s="9" t="s">
        <v>536</v>
      </c>
      <c r="D454" s="16" t="s">
        <v>540</v>
      </c>
      <c r="E454" s="10">
        <v>2</v>
      </c>
      <c r="F454" s="10">
        <v>4001</v>
      </c>
      <c r="G454" s="10"/>
      <c r="H454" s="3">
        <v>32001</v>
      </c>
      <c r="I454" s="15" t="s">
        <v>544</v>
      </c>
      <c r="J454" s="13">
        <v>90</v>
      </c>
      <c r="K454" s="13"/>
      <c r="L454" s="1">
        <v>40004</v>
      </c>
    </row>
    <row r="455" spans="2:12" x14ac:dyDescent="0.4">
      <c r="B455" s="2">
        <v>6005</v>
      </c>
      <c r="C455" s="9" t="s">
        <v>536</v>
      </c>
      <c r="D455" s="16" t="s">
        <v>540</v>
      </c>
      <c r="E455" s="10">
        <v>2</v>
      </c>
      <c r="F455" s="10">
        <v>4001</v>
      </c>
      <c r="G455" s="10"/>
      <c r="H455" s="3">
        <v>32001</v>
      </c>
      <c r="I455" s="15" t="s">
        <v>545</v>
      </c>
      <c r="J455" s="13">
        <v>90</v>
      </c>
      <c r="K455" s="13"/>
      <c r="L455" s="1">
        <v>40005</v>
      </c>
    </row>
    <row r="456" spans="2:12" x14ac:dyDescent="0.4">
      <c r="B456" s="2">
        <v>6006</v>
      </c>
      <c r="C456" s="9" t="s">
        <v>536</v>
      </c>
      <c r="D456" s="16" t="s">
        <v>540</v>
      </c>
      <c r="E456" s="10">
        <v>2</v>
      </c>
      <c r="F456" s="10">
        <v>4001</v>
      </c>
      <c r="G456" s="10"/>
      <c r="H456" s="3">
        <v>32001</v>
      </c>
      <c r="I456" s="15" t="s">
        <v>546</v>
      </c>
      <c r="J456" s="13">
        <v>90</v>
      </c>
      <c r="K456" s="13"/>
      <c r="L456" s="1">
        <v>40006</v>
      </c>
    </row>
    <row r="457" spans="2:12" x14ac:dyDescent="0.4">
      <c r="B457" s="2">
        <v>6007</v>
      </c>
      <c r="C457" s="9" t="s">
        <v>536</v>
      </c>
      <c r="D457" s="16" t="s">
        <v>540</v>
      </c>
      <c r="E457" s="10">
        <v>2</v>
      </c>
      <c r="F457" s="10">
        <v>4001</v>
      </c>
      <c r="G457" s="10"/>
      <c r="H457" s="3">
        <v>32001</v>
      </c>
      <c r="I457" s="15" t="s">
        <v>546</v>
      </c>
      <c r="J457" s="13">
        <v>90</v>
      </c>
      <c r="K457" s="13"/>
      <c r="L457" s="1">
        <v>40007</v>
      </c>
    </row>
    <row r="458" spans="2:12" x14ac:dyDescent="0.4">
      <c r="B458" s="2">
        <v>6008</v>
      </c>
      <c r="C458" s="9" t="s">
        <v>536</v>
      </c>
      <c r="D458" s="16" t="s">
        <v>540</v>
      </c>
      <c r="E458" s="10">
        <v>2</v>
      </c>
      <c r="F458" s="10">
        <v>4001</v>
      </c>
      <c r="G458" s="10"/>
      <c r="H458" s="3">
        <v>32001</v>
      </c>
      <c r="I458" s="15" t="s">
        <v>547</v>
      </c>
      <c r="J458" s="13">
        <v>90</v>
      </c>
      <c r="K458" s="13"/>
      <c r="L458" s="1">
        <v>40008</v>
      </c>
    </row>
    <row r="459" spans="2:12" x14ac:dyDescent="0.4">
      <c r="B459" s="2">
        <v>6009</v>
      </c>
      <c r="C459" s="9" t="s">
        <v>536</v>
      </c>
      <c r="D459" s="16" t="s">
        <v>540</v>
      </c>
      <c r="E459" s="10">
        <v>2</v>
      </c>
      <c r="F459" s="10">
        <v>4001</v>
      </c>
      <c r="G459" s="10"/>
      <c r="H459" s="3">
        <v>32001</v>
      </c>
      <c r="I459" s="15" t="s">
        <v>547</v>
      </c>
      <c r="J459" s="13">
        <v>90</v>
      </c>
      <c r="K459" s="13"/>
      <c r="L459" s="1">
        <v>40009</v>
      </c>
    </row>
    <row r="460" spans="2:12" x14ac:dyDescent="0.4">
      <c r="B460" s="2">
        <v>6010</v>
      </c>
      <c r="C460" s="9" t="s">
        <v>536</v>
      </c>
      <c r="D460" s="16" t="s">
        <v>540</v>
      </c>
      <c r="E460" s="10">
        <v>2</v>
      </c>
      <c r="F460" s="10">
        <v>4001</v>
      </c>
      <c r="G460" s="10"/>
      <c r="H460" s="3">
        <v>32001</v>
      </c>
      <c r="I460" s="15" t="s">
        <v>548</v>
      </c>
      <c r="J460" s="13">
        <v>90</v>
      </c>
      <c r="K460" s="13"/>
      <c r="L460" s="1">
        <v>40010</v>
      </c>
    </row>
    <row r="461" spans="2:12" x14ac:dyDescent="0.4">
      <c r="B461" s="2">
        <v>6011</v>
      </c>
      <c r="C461" s="9" t="s">
        <v>536</v>
      </c>
      <c r="D461" s="16" t="s">
        <v>540</v>
      </c>
      <c r="E461" s="10">
        <v>2</v>
      </c>
      <c r="F461" s="10">
        <v>4001</v>
      </c>
      <c r="G461" s="10"/>
      <c r="H461" s="3">
        <v>32001</v>
      </c>
      <c r="I461" s="15" t="s">
        <v>549</v>
      </c>
      <c r="J461" s="13">
        <v>90</v>
      </c>
      <c r="K461" s="13"/>
      <c r="L461" s="1">
        <v>40011</v>
      </c>
    </row>
    <row r="462" spans="2:12" x14ac:dyDescent="0.4">
      <c r="B462" s="2">
        <v>6012</v>
      </c>
      <c r="C462" s="9" t="s">
        <v>536</v>
      </c>
      <c r="D462" s="16" t="s">
        <v>540</v>
      </c>
      <c r="E462" s="10">
        <v>2</v>
      </c>
      <c r="F462" s="10">
        <v>4001</v>
      </c>
      <c r="G462" s="10"/>
      <c r="H462" s="3">
        <v>32001</v>
      </c>
      <c r="I462" s="15" t="s">
        <v>550</v>
      </c>
      <c r="J462" s="13">
        <v>90</v>
      </c>
      <c r="K462" s="13"/>
      <c r="L462" s="1">
        <v>40012</v>
      </c>
    </row>
    <row r="463" spans="2:12" x14ac:dyDescent="0.4">
      <c r="B463" s="2">
        <v>6013</v>
      </c>
      <c r="C463" s="9" t="s">
        <v>536</v>
      </c>
      <c r="D463" s="16" t="s">
        <v>540</v>
      </c>
      <c r="E463" s="10">
        <v>2</v>
      </c>
      <c r="F463" s="10">
        <v>4001</v>
      </c>
      <c r="G463" s="10"/>
      <c r="H463" s="3">
        <v>32001</v>
      </c>
      <c r="I463" s="15" t="s">
        <v>551</v>
      </c>
      <c r="J463" s="13">
        <v>90</v>
      </c>
      <c r="K463" s="13"/>
      <c r="L463" s="1">
        <v>40013</v>
      </c>
    </row>
    <row r="464" spans="2:12" x14ac:dyDescent="0.4">
      <c r="B464" s="2">
        <v>6014</v>
      </c>
      <c r="C464" s="9" t="s">
        <v>536</v>
      </c>
      <c r="D464" s="16" t="s">
        <v>540</v>
      </c>
      <c r="E464" s="10">
        <v>2</v>
      </c>
      <c r="F464" s="10">
        <v>4001</v>
      </c>
      <c r="G464" s="10"/>
      <c r="H464" s="3">
        <v>32001</v>
      </c>
      <c r="I464" s="15" t="s">
        <v>551</v>
      </c>
      <c r="J464" s="13">
        <v>90</v>
      </c>
      <c r="K464" s="13"/>
      <c r="L464" s="1">
        <v>40014</v>
      </c>
    </row>
    <row r="465" spans="2:12" x14ac:dyDescent="0.4">
      <c r="B465" s="2">
        <v>6015</v>
      </c>
      <c r="C465" s="9" t="s">
        <v>536</v>
      </c>
      <c r="D465" s="16" t="s">
        <v>540</v>
      </c>
      <c r="E465" s="10">
        <v>2</v>
      </c>
      <c r="F465" s="10">
        <v>4001</v>
      </c>
      <c r="G465" s="10"/>
      <c r="H465" s="3">
        <v>32001</v>
      </c>
      <c r="I465" s="15" t="s">
        <v>552</v>
      </c>
      <c r="J465" s="13">
        <v>90</v>
      </c>
      <c r="K465" s="13"/>
      <c r="L465" s="1">
        <v>40015</v>
      </c>
    </row>
    <row r="466" spans="2:12" x14ac:dyDescent="0.4">
      <c r="B466" s="2">
        <v>6016</v>
      </c>
      <c r="C466" s="9" t="s">
        <v>536</v>
      </c>
      <c r="D466" s="16" t="s">
        <v>540</v>
      </c>
      <c r="E466" s="10">
        <v>2</v>
      </c>
      <c r="F466" s="10">
        <v>4001</v>
      </c>
      <c r="G466" s="10"/>
      <c r="H466" s="3">
        <v>32001</v>
      </c>
      <c r="I466" s="15" t="s">
        <v>553</v>
      </c>
      <c r="J466" s="13">
        <v>90</v>
      </c>
      <c r="K466" s="13"/>
      <c r="L466" s="1">
        <v>40016</v>
      </c>
    </row>
    <row r="467" spans="2:12" x14ac:dyDescent="0.4">
      <c r="B467" s="2">
        <v>6017</v>
      </c>
      <c r="C467" s="9" t="s">
        <v>536</v>
      </c>
      <c r="D467" s="16" t="s">
        <v>540</v>
      </c>
      <c r="E467" s="10">
        <v>2</v>
      </c>
      <c r="F467" s="10">
        <v>4001</v>
      </c>
      <c r="G467" s="10"/>
      <c r="H467" s="3">
        <v>32001</v>
      </c>
      <c r="I467" s="15" t="s">
        <v>554</v>
      </c>
      <c r="J467" s="13">
        <v>90</v>
      </c>
      <c r="K467" s="13"/>
      <c r="L467" s="1">
        <v>40017</v>
      </c>
    </row>
    <row r="468" spans="2:12" x14ac:dyDescent="0.4">
      <c r="B468" s="2">
        <v>6018</v>
      </c>
      <c r="C468" s="9" t="s">
        <v>536</v>
      </c>
      <c r="D468" s="16" t="s">
        <v>540</v>
      </c>
      <c r="E468" s="10">
        <v>2</v>
      </c>
      <c r="F468" s="10">
        <v>4001</v>
      </c>
      <c r="G468" s="10"/>
      <c r="H468" s="3">
        <v>32001</v>
      </c>
      <c r="I468" s="15" t="s">
        <v>555</v>
      </c>
      <c r="J468" s="13">
        <v>90</v>
      </c>
      <c r="K468" s="13"/>
      <c r="L468" s="1">
        <v>40018</v>
      </c>
    </row>
    <row r="469" spans="2:12" x14ac:dyDescent="0.4">
      <c r="B469" s="2">
        <v>6019</v>
      </c>
      <c r="C469" s="9" t="s">
        <v>536</v>
      </c>
      <c r="D469" s="16" t="s">
        <v>540</v>
      </c>
      <c r="E469" s="10">
        <v>2</v>
      </c>
      <c r="F469" s="10">
        <v>4001</v>
      </c>
      <c r="G469" s="10"/>
      <c r="H469" s="3">
        <v>32001</v>
      </c>
      <c r="I469" s="15" t="s">
        <v>556</v>
      </c>
      <c r="J469" s="13">
        <v>90</v>
      </c>
      <c r="K469" s="13"/>
      <c r="L469" s="1">
        <v>40019</v>
      </c>
    </row>
    <row r="470" spans="2:12" x14ac:dyDescent="0.4">
      <c r="B470" s="2">
        <v>6020</v>
      </c>
      <c r="C470" s="9" t="s">
        <v>536</v>
      </c>
      <c r="D470" s="16" t="s">
        <v>540</v>
      </c>
      <c r="E470" s="10">
        <v>2</v>
      </c>
      <c r="F470" s="10">
        <v>4001</v>
      </c>
      <c r="G470" s="10"/>
      <c r="H470" s="3">
        <v>32001</v>
      </c>
      <c r="I470" s="15" t="s">
        <v>557</v>
      </c>
      <c r="J470" s="13">
        <v>90</v>
      </c>
      <c r="K470" s="13"/>
      <c r="L470" s="1">
        <v>40020</v>
      </c>
    </row>
    <row r="471" spans="2:12" x14ac:dyDescent="0.4">
      <c r="B471" s="2">
        <v>6021</v>
      </c>
      <c r="C471" s="9" t="s">
        <v>536</v>
      </c>
      <c r="D471" s="16" t="s">
        <v>540</v>
      </c>
      <c r="E471" s="10">
        <v>2</v>
      </c>
      <c r="F471" s="10">
        <v>4001</v>
      </c>
      <c r="G471" s="10"/>
      <c r="H471" s="3">
        <v>32001</v>
      </c>
      <c r="I471" s="15" t="s">
        <v>558</v>
      </c>
      <c r="J471" s="13">
        <v>90</v>
      </c>
      <c r="K471" s="13"/>
      <c r="L471" s="1">
        <v>40021</v>
      </c>
    </row>
    <row r="472" spans="2:12" x14ac:dyDescent="0.4">
      <c r="B472" s="2">
        <v>6022</v>
      </c>
      <c r="C472" s="9" t="s">
        <v>536</v>
      </c>
      <c r="D472" s="16" t="s">
        <v>540</v>
      </c>
      <c r="E472" s="10">
        <v>2</v>
      </c>
      <c r="F472" s="10">
        <v>4001</v>
      </c>
      <c r="G472" s="10"/>
      <c r="H472" s="3">
        <v>32001</v>
      </c>
      <c r="I472" s="15" t="s">
        <v>559</v>
      </c>
      <c r="J472" s="13">
        <v>90</v>
      </c>
      <c r="K472" s="13"/>
      <c r="L472" s="1">
        <v>40022</v>
      </c>
    </row>
    <row r="473" spans="2:12" x14ac:dyDescent="0.4">
      <c r="B473" s="2">
        <v>6023</v>
      </c>
      <c r="C473" s="9" t="s">
        <v>536</v>
      </c>
      <c r="D473" s="16" t="s">
        <v>540</v>
      </c>
      <c r="E473" s="10">
        <v>2</v>
      </c>
      <c r="F473" s="10">
        <v>4001</v>
      </c>
      <c r="G473" s="10"/>
      <c r="H473" s="3">
        <v>32001</v>
      </c>
      <c r="I473" s="16" t="s">
        <v>560</v>
      </c>
      <c r="J473" s="13">
        <v>90</v>
      </c>
      <c r="K473" s="13"/>
      <c r="L473" s="1">
        <v>40023</v>
      </c>
    </row>
    <row r="474" spans="2:12" x14ac:dyDescent="0.4">
      <c r="B474" s="2">
        <v>6024</v>
      </c>
      <c r="C474" s="9" t="s">
        <v>536</v>
      </c>
      <c r="D474" s="16" t="s">
        <v>540</v>
      </c>
      <c r="E474" s="10">
        <v>2</v>
      </c>
      <c r="F474" s="10">
        <v>4001</v>
      </c>
      <c r="G474" s="10"/>
      <c r="H474" s="3">
        <v>32001</v>
      </c>
      <c r="I474" s="16" t="s">
        <v>561</v>
      </c>
      <c r="J474" s="13">
        <v>90</v>
      </c>
      <c r="K474" s="13"/>
      <c r="L474" s="1">
        <v>40024</v>
      </c>
    </row>
    <row r="475" spans="2:12" x14ac:dyDescent="0.4">
      <c r="B475" s="2">
        <v>6025</v>
      </c>
      <c r="C475" s="9" t="s">
        <v>536</v>
      </c>
      <c r="D475" s="16" t="s">
        <v>540</v>
      </c>
      <c r="E475" s="10">
        <v>2</v>
      </c>
      <c r="F475" s="10">
        <v>4001</v>
      </c>
      <c r="G475" s="10"/>
      <c r="H475" s="3">
        <v>32001</v>
      </c>
      <c r="I475" s="16" t="s">
        <v>562</v>
      </c>
      <c r="J475" s="13">
        <v>90</v>
      </c>
      <c r="K475" s="13"/>
      <c r="L475" s="1">
        <v>40025</v>
      </c>
    </row>
    <row r="476" spans="2:12" x14ac:dyDescent="0.4">
      <c r="B476" s="2">
        <v>6026</v>
      </c>
      <c r="C476" s="9" t="s">
        <v>536</v>
      </c>
      <c r="D476" s="16" t="s">
        <v>540</v>
      </c>
      <c r="E476" s="10">
        <v>2</v>
      </c>
      <c r="F476" s="10">
        <v>4001</v>
      </c>
      <c r="G476" s="10"/>
      <c r="H476" s="3">
        <v>32001</v>
      </c>
      <c r="I476" s="16" t="s">
        <v>563</v>
      </c>
      <c r="J476" s="13">
        <v>90</v>
      </c>
      <c r="K476" s="13"/>
      <c r="L476" s="1">
        <v>40026</v>
      </c>
    </row>
    <row r="477" spans="2:12" x14ac:dyDescent="0.4">
      <c r="B477" s="2">
        <v>6027</v>
      </c>
      <c r="C477" s="9" t="s">
        <v>536</v>
      </c>
      <c r="D477" s="16" t="s">
        <v>540</v>
      </c>
      <c r="E477" s="10">
        <v>2</v>
      </c>
      <c r="F477" s="10">
        <v>4001</v>
      </c>
      <c r="G477" s="10"/>
      <c r="H477" s="3">
        <v>32001</v>
      </c>
      <c r="I477" s="16" t="s">
        <v>564</v>
      </c>
      <c r="J477" s="13">
        <v>90</v>
      </c>
      <c r="K477" s="13"/>
      <c r="L477" s="1">
        <v>40027</v>
      </c>
    </row>
    <row r="478" spans="2:12" x14ac:dyDescent="0.4">
      <c r="B478" s="2">
        <v>6028</v>
      </c>
      <c r="C478" s="9" t="s">
        <v>536</v>
      </c>
      <c r="D478" s="16" t="s">
        <v>540</v>
      </c>
      <c r="E478" s="10">
        <v>2</v>
      </c>
      <c r="F478" s="10">
        <v>4001</v>
      </c>
      <c r="G478" s="10"/>
      <c r="H478" s="3">
        <v>32001</v>
      </c>
      <c r="I478" s="16" t="s">
        <v>565</v>
      </c>
      <c r="J478" s="13">
        <v>90</v>
      </c>
      <c r="K478" s="13"/>
      <c r="L478" s="1">
        <v>40028</v>
      </c>
    </row>
    <row r="479" spans="2:12" x14ac:dyDescent="0.4">
      <c r="B479" s="2">
        <v>6029</v>
      </c>
      <c r="C479" s="9" t="s">
        <v>536</v>
      </c>
      <c r="D479" s="16" t="s">
        <v>540</v>
      </c>
      <c r="E479" s="10">
        <v>2</v>
      </c>
      <c r="F479" s="10">
        <v>4001</v>
      </c>
      <c r="G479" s="10"/>
      <c r="H479" s="3">
        <v>32001</v>
      </c>
      <c r="I479" s="16" t="s">
        <v>566</v>
      </c>
      <c r="J479" s="13">
        <v>90</v>
      </c>
      <c r="K479" s="13"/>
      <c r="L479" s="1">
        <v>40029</v>
      </c>
    </row>
    <row r="480" spans="2:12" x14ac:dyDescent="0.4">
      <c r="B480" s="2">
        <v>6030</v>
      </c>
      <c r="C480" s="9" t="s">
        <v>536</v>
      </c>
      <c r="D480" s="16" t="s">
        <v>540</v>
      </c>
      <c r="E480" s="10">
        <v>2</v>
      </c>
      <c r="F480" s="10">
        <v>4001</v>
      </c>
      <c r="G480" s="10"/>
      <c r="H480" s="3">
        <v>32001</v>
      </c>
      <c r="I480" s="16" t="s">
        <v>567</v>
      </c>
      <c r="J480" s="13">
        <v>90</v>
      </c>
      <c r="K480" s="13"/>
      <c r="L480" s="1">
        <v>40030</v>
      </c>
    </row>
    <row r="481" spans="2:12" x14ac:dyDescent="0.4">
      <c r="B481" s="2">
        <v>6031</v>
      </c>
      <c r="C481" s="9" t="s">
        <v>536</v>
      </c>
      <c r="D481" s="16" t="s">
        <v>540</v>
      </c>
      <c r="E481" s="10">
        <v>2</v>
      </c>
      <c r="F481" s="10">
        <v>4001</v>
      </c>
      <c r="G481" s="10"/>
      <c r="H481" s="3">
        <v>32001</v>
      </c>
      <c r="I481" s="16" t="s">
        <v>568</v>
      </c>
      <c r="J481" s="13">
        <v>90</v>
      </c>
      <c r="K481" s="13"/>
      <c r="L481" s="1">
        <v>40031</v>
      </c>
    </row>
    <row r="482" spans="2:12" x14ac:dyDescent="0.4">
      <c r="B482" s="2">
        <v>6032</v>
      </c>
      <c r="C482" s="9" t="s">
        <v>536</v>
      </c>
      <c r="D482" s="16" t="s">
        <v>540</v>
      </c>
      <c r="E482" s="10">
        <v>2</v>
      </c>
      <c r="F482" s="10">
        <v>4001</v>
      </c>
      <c r="G482" s="10"/>
      <c r="H482" s="3">
        <v>32001</v>
      </c>
      <c r="I482" s="16" t="s">
        <v>569</v>
      </c>
      <c r="J482" s="13">
        <v>90</v>
      </c>
      <c r="K482" s="13"/>
      <c r="L482" s="1">
        <v>40032</v>
      </c>
    </row>
    <row r="483" spans="2:12" x14ac:dyDescent="0.4">
      <c r="B483" s="2">
        <v>6033</v>
      </c>
      <c r="C483" s="9" t="s">
        <v>536</v>
      </c>
      <c r="D483" s="16" t="s">
        <v>540</v>
      </c>
      <c r="E483" s="10">
        <v>2</v>
      </c>
      <c r="F483" s="10">
        <v>4001</v>
      </c>
      <c r="G483" s="10"/>
      <c r="H483" s="3">
        <v>32001</v>
      </c>
      <c r="I483" s="16" t="s">
        <v>570</v>
      </c>
      <c r="J483" s="13">
        <v>90</v>
      </c>
      <c r="K483" s="13"/>
      <c r="L483" s="1">
        <v>40033</v>
      </c>
    </row>
    <row r="484" spans="2:12" x14ac:dyDescent="0.4">
      <c r="B484" s="2">
        <v>6034</v>
      </c>
      <c r="C484" s="9" t="s">
        <v>536</v>
      </c>
      <c r="D484" s="16" t="s">
        <v>540</v>
      </c>
      <c r="E484" s="10">
        <v>2</v>
      </c>
      <c r="F484" s="10">
        <v>4001</v>
      </c>
      <c r="G484" s="10"/>
      <c r="H484" s="3">
        <v>32001</v>
      </c>
      <c r="I484" s="16" t="s">
        <v>571</v>
      </c>
      <c r="J484" s="13">
        <v>90</v>
      </c>
      <c r="K484" s="13"/>
      <c r="L484" s="1">
        <v>40034</v>
      </c>
    </row>
    <row r="485" spans="2:12" x14ac:dyDescent="0.4">
      <c r="B485" s="2">
        <v>6035</v>
      </c>
      <c r="C485" s="9" t="s">
        <v>536</v>
      </c>
      <c r="D485" s="16" t="s">
        <v>540</v>
      </c>
      <c r="E485" s="10">
        <v>2</v>
      </c>
      <c r="F485" s="10">
        <v>4001</v>
      </c>
      <c r="G485" s="10"/>
      <c r="H485" s="3">
        <v>32001</v>
      </c>
      <c r="I485" s="16" t="s">
        <v>572</v>
      </c>
      <c r="J485" s="13">
        <v>90</v>
      </c>
      <c r="K485" s="13"/>
      <c r="L485" s="1">
        <v>40035</v>
      </c>
    </row>
    <row r="486" spans="2:12" x14ac:dyDescent="0.4">
      <c r="B486" s="2">
        <v>6036</v>
      </c>
      <c r="C486" s="9" t="s">
        <v>536</v>
      </c>
      <c r="D486" s="16" t="s">
        <v>540</v>
      </c>
      <c r="E486" s="10">
        <v>2</v>
      </c>
      <c r="F486" s="10">
        <v>4001</v>
      </c>
      <c r="G486" s="10"/>
      <c r="H486" s="3">
        <v>32001</v>
      </c>
      <c r="I486" s="16" t="s">
        <v>573</v>
      </c>
      <c r="J486" s="13">
        <v>90</v>
      </c>
      <c r="K486" s="13"/>
      <c r="L486" s="1">
        <v>40036</v>
      </c>
    </row>
    <row r="487" spans="2:12" x14ac:dyDescent="0.4">
      <c r="B487" s="2">
        <v>6037</v>
      </c>
      <c r="C487" s="9" t="s">
        <v>536</v>
      </c>
      <c r="D487" s="16" t="s">
        <v>540</v>
      </c>
      <c r="E487" s="10">
        <v>2</v>
      </c>
      <c r="F487" s="10">
        <v>4001</v>
      </c>
      <c r="G487" s="10"/>
      <c r="H487" s="3">
        <v>32001</v>
      </c>
      <c r="I487" s="16" t="s">
        <v>574</v>
      </c>
      <c r="J487" s="13">
        <v>90</v>
      </c>
      <c r="K487" s="13"/>
      <c r="L487" s="1">
        <v>40037</v>
      </c>
    </row>
    <row r="488" spans="2:12" x14ac:dyDescent="0.4">
      <c r="B488" s="2">
        <v>6038</v>
      </c>
      <c r="C488" s="9" t="s">
        <v>536</v>
      </c>
      <c r="D488" s="16" t="s">
        <v>540</v>
      </c>
      <c r="E488" s="10">
        <v>2</v>
      </c>
      <c r="F488" s="10">
        <v>4001</v>
      </c>
      <c r="G488" s="10"/>
      <c r="H488" s="3">
        <v>32001</v>
      </c>
      <c r="I488" s="16" t="s">
        <v>575</v>
      </c>
      <c r="J488" s="13">
        <v>90</v>
      </c>
      <c r="K488" s="13"/>
      <c r="L488" s="1">
        <v>40038</v>
      </c>
    </row>
    <row r="489" spans="2:12" x14ac:dyDescent="0.4">
      <c r="B489" s="2">
        <v>6039</v>
      </c>
      <c r="C489" s="9" t="s">
        <v>536</v>
      </c>
      <c r="D489" s="16" t="s">
        <v>540</v>
      </c>
      <c r="E489" s="10">
        <v>2</v>
      </c>
      <c r="F489" s="10">
        <v>4001</v>
      </c>
      <c r="G489" s="10"/>
      <c r="H489" s="3">
        <v>32001</v>
      </c>
      <c r="I489" s="16" t="s">
        <v>576</v>
      </c>
      <c r="J489" s="13">
        <v>90</v>
      </c>
      <c r="K489" s="13"/>
      <c r="L489" s="1">
        <v>40039</v>
      </c>
    </row>
    <row r="490" spans="2:12" x14ac:dyDescent="0.4">
      <c r="B490" s="2">
        <v>6040</v>
      </c>
      <c r="C490" s="9" t="s">
        <v>536</v>
      </c>
      <c r="D490" s="16" t="s">
        <v>540</v>
      </c>
      <c r="E490" s="10">
        <v>2</v>
      </c>
      <c r="F490" s="10">
        <v>4001</v>
      </c>
      <c r="G490" s="10"/>
      <c r="H490" s="3">
        <v>32001</v>
      </c>
      <c r="I490" s="16" t="s">
        <v>577</v>
      </c>
      <c r="J490" s="13">
        <v>90</v>
      </c>
      <c r="K490" s="13"/>
      <c r="L490" s="1">
        <v>40040</v>
      </c>
    </row>
    <row r="491" spans="2:12" x14ac:dyDescent="0.4">
      <c r="B491" s="2">
        <v>10001</v>
      </c>
      <c r="C491" s="9" t="s">
        <v>537</v>
      </c>
      <c r="D491" s="16" t="s">
        <v>540</v>
      </c>
      <c r="E491" s="3">
        <v>2</v>
      </c>
      <c r="F491" s="3">
        <v>5001</v>
      </c>
      <c r="H491" s="7">
        <v>60001</v>
      </c>
      <c r="I491" s="6" t="s">
        <v>455</v>
      </c>
    </row>
    <row r="492" spans="2:12" x14ac:dyDescent="0.4">
      <c r="B492" s="2">
        <v>10002</v>
      </c>
      <c r="C492" s="9" t="s">
        <v>538</v>
      </c>
      <c r="D492" s="16" t="s">
        <v>540</v>
      </c>
      <c r="E492" s="3">
        <v>2</v>
      </c>
      <c r="F492" s="3">
        <v>5001</v>
      </c>
      <c r="H492" s="7">
        <v>60002</v>
      </c>
      <c r="I492" s="6" t="s">
        <v>455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斌 陈</dc:creator>
  <cp:lastModifiedBy>陈斌</cp:lastModifiedBy>
  <dcterms:created xsi:type="dcterms:W3CDTF">2024-06-14T00:59:00Z</dcterms:created>
  <dcterms:modified xsi:type="dcterms:W3CDTF">2025-01-16T07:45:57Z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29229A4BC2754A3E9CFC08F08AC10872_12</vt:lpwstr>
  </property>
  <property fmtid="{D5CDD505-2E9C-101B-9397-08002B2CF9AE}" pid="3" name="KSOProductBuildVer">
    <vt:lpwstr>2052-12.1.0.17813</vt:lpwstr>
  </property>
</Properties>
</file>