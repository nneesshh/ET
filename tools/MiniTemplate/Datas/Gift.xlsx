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E559A71A-F9CF-4450-8E08-E70BB7252C25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礼物主表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2" i="2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8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4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</author>
  </authors>
  <commentList>
    <comment ref="H5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1常规挂机界面
2系统boss副本
3论道活动
4世界boss
5秘境
6宗门试炼
7宗门对决</t>
        </r>
      </text>
    </comment>
    <comment ref="X5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单次购买指定数量礼物</t>
        </r>
      </text>
    </comment>
    <comment ref="Y5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除了礼物本身的奖励外，还有额外奖励；
奖励次数=INT(购买礼物数量/组刷数量)</t>
        </r>
      </text>
    </comment>
    <comment ref="F6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G6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G14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F27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G27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F31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G31" authorId="0" shapeId="0" xr:uid="{00000000-0006-0000-0000-00000A000000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F36" authorId="0" shapeId="0" xr:uid="{3AF3813A-EE0D-404B-992F-2B90BA5ABBC4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G36" authorId="0" shapeId="0" xr:uid="{F05F675B-7758-4290-A7EF-81A75D67C646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F40" authorId="0" shapeId="0" xr:uid="{4678DA0A-5927-4C37-89B4-CD14D3639A97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G40" authorId="0" shapeId="0" xr:uid="{9B2DFFAD-7AF7-49FF-A22D-054C02ECBBB6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F46" authorId="0" shapeId="0" xr:uid="{CB0C86B0-E47E-471D-BAD1-971CDBBF5C63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G46" authorId="0" shapeId="0" xr:uid="{D9D1782F-65D0-4392-AF4F-0DE5E2C96249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G54" authorId="0" shapeId="0" xr:uid="{971FE72F-87E7-48FB-AB97-21C430511089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F67" authorId="0" shapeId="0" xr:uid="{205BE7A5-5A30-4A0E-AD9E-63C12159974E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G67" authorId="0" shapeId="0" xr:uid="{187F2B1A-3E91-473A-A83B-B651C75C9CB5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F71" authorId="0" shapeId="0" xr:uid="{E5A0B0DB-0EDB-42E1-A08B-9B9612BC3D25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G71" authorId="0" shapeId="0" xr:uid="{F18E72EB-5821-43D0-B80A-A29ED85FE2F4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F76" authorId="0" shapeId="0" xr:uid="{1140A7EA-EF2C-4F66-B0E6-7DB48C636E54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G76" authorId="0" shapeId="0" xr:uid="{DA2E9183-A9F3-4164-AEFB-92E6DD59A048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F80" authorId="0" shapeId="0" xr:uid="{9D313ACE-3442-4229-9DF7-C646E833E9B1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G80" authorId="0" shapeId="0" xr:uid="{92A7A453-8837-46E6-9C73-DFA68039644D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F86" authorId="0" shapeId="0" xr:uid="{6129433D-5EE3-412A-86EF-1BE9A1A37E17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G86" authorId="0" shapeId="0" xr:uid="{DBD9C3BB-B512-4115-9304-EE20D732C25E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G94" authorId="0" shapeId="0" xr:uid="{4632380A-DEBD-4C37-BDC5-4A897F43DAAF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F107" authorId="0" shapeId="0" xr:uid="{19823A9A-7EAB-494B-B930-64B34BA74E9D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G107" authorId="0" shapeId="0" xr:uid="{5A7A598B-72C9-481B-BB78-EB9C53301C4F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F111" authorId="0" shapeId="0" xr:uid="{A723E4ED-E4CA-4E4E-B8F9-3BA45E3D4FD9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G111" authorId="0" shapeId="0" xr:uid="{F26E2BD2-BC41-4BFF-B008-9D06AF2D32EC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F116" authorId="0" shapeId="0" xr:uid="{C46632D7-6DB4-4CF7-BF23-1C8D8F7E392C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G116" authorId="0" shapeId="0" xr:uid="{869E40CB-4739-45D4-A243-5F6DDB1BB7C6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F120" authorId="0" shapeId="0" xr:uid="{5CAC3AFB-7F58-4218-84D6-D3EEA84B0BF5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  <comment ref="G120" authorId="0" shapeId="0" xr:uid="{E08E2CFF-328E-41DF-99A4-C477AFF49B5D}">
      <text>
        <r>
          <rPr>
            <b/>
            <sz val="9"/>
            <rFont val="宋体"/>
            <family val="3"/>
            <charset val="134"/>
          </rPr>
          <t>释放</t>
        </r>
        <r>
          <rPr>
            <sz val="9"/>
            <rFont val="宋体"/>
            <family val="3"/>
            <charset val="134"/>
          </rPr>
          <t>一个回复buff</t>
        </r>
      </text>
    </comment>
  </commentList>
</comments>
</file>

<file path=xl/sharedStrings.xml><?xml version="1.0" encoding="utf-8"?>
<sst xmlns="http://schemas.openxmlformats.org/spreadsheetml/2006/main" count="861" uniqueCount="204">
  <si>
    <t>##var</t>
  </si>
  <si>
    <t>id</t>
  </si>
  <si>
    <t>name</t>
  </si>
  <si>
    <t>effectDesc</t>
  </si>
  <si>
    <t>##</t>
  </si>
  <si>
    <t>giftType</t>
  </si>
  <si>
    <t>kwaiGiftID</t>
  </si>
  <si>
    <t>value</t>
  </si>
  <si>
    <t>reward</t>
  </si>
  <si>
    <t>isInvadeCamp</t>
  </si>
  <si>
    <t>InvadeNum</t>
  </si>
  <si>
    <t>callBoss</t>
  </si>
  <si>
    <t>WorldBossRevive</t>
  </si>
  <si>
    <t>reviveEffect</t>
  </si>
  <si>
    <t>transfer</t>
  </si>
  <si>
    <t>releaseSkill</t>
  </si>
  <si>
    <t>releaseBuff</t>
  </si>
  <si>
    <t>groupNum</t>
  </si>
  <si>
    <t>groupReward</t>
  </si>
  <si>
    <t>firstTimesDaily</t>
  </si>
  <si>
    <t>callBossReward</t>
  </si>
  <si>
    <t>itemReward</t>
  </si>
  <si>
    <t>##type</t>
  </si>
  <si>
    <t>int</t>
  </si>
  <si>
    <t>string</t>
  </si>
  <si>
    <t>Gift.Type</t>
  </si>
  <si>
    <t>(list#sep=;),Prop.PropObj</t>
  </si>
  <si>
    <t>bool</t>
  </si>
  <si>
    <t>(list#sep=;),Skill.SkAndSktIdData</t>
  </si>
  <si>
    <t>(list#sep=;),int#ref=Battle.TbBuffMain</t>
  </si>
  <si>
    <t>##group</t>
  </si>
  <si>
    <t>备注</t>
  </si>
  <si>
    <t>描述</t>
  </si>
  <si>
    <t>礼物类型</t>
  </si>
  <si>
    <t>接入礼物id</t>
  </si>
  <si>
    <t>礼物的价值</t>
  </si>
  <si>
    <t>奖励</t>
  </si>
  <si>
    <t>购买者为入侵方才有的入侵次数</t>
  </si>
  <si>
    <t>召唤随机BOSS</t>
  </si>
  <si>
    <t>增加竞技场次数</t>
  </si>
  <si>
    <t>世界boss立即复活</t>
  </si>
  <si>
    <t>复活</t>
  </si>
  <si>
    <t>复活生命比例，万分比</t>
  </si>
  <si>
    <t>转移直播间</t>
  </si>
  <si>
    <t>释放技能</t>
  </si>
  <si>
    <t>释放BUFF</t>
  </si>
  <si>
    <t>组刷数量</t>
  </si>
  <si>
    <t>组刷额外奖励</t>
  </si>
  <si>
    <t>每日前N次送</t>
  </si>
  <si>
    <t>额外奖励礼物boss次数</t>
  </si>
  <si>
    <t>额外奖励道具</t>
  </si>
  <si>
    <t>11001</t>
  </si>
  <si>
    <t>助威火炬</t>
  </si>
  <si>
    <t>回复100000点生命</t>
  </si>
  <si>
    <t>11582</t>
  </si>
  <si>
    <t>火花</t>
  </si>
  <si>
    <t>获得仙缘宝盒*1</t>
  </si>
  <si>
    <t>11584</t>
  </si>
  <si>
    <t>10</t>
  </si>
  <si>
    <t>1,1012,1</t>
  </si>
  <si>
    <t>1,1005,1</t>
  </si>
  <si>
    <t>助威火箭</t>
  </si>
  <si>
    <t>获得悟性丹*5</t>
  </si>
  <si>
    <t>11606</t>
  </si>
  <si>
    <t>1,1001,5</t>
  </si>
  <si>
    <t>1,1001,10</t>
  </si>
  <si>
    <t>雪糕刺客</t>
  </si>
  <si>
    <t>获得强化石12、幽冥钢*4、金刚砂*4</t>
  </si>
  <si>
    <t>11585</t>
  </si>
  <si>
    <t>1,1005,22;1,1006,8;1,1007,8</t>
  </si>
  <si>
    <t>2</t>
  </si>
  <si>
    <t>1,1005,40</t>
  </si>
  <si>
    <t>冲鸭</t>
  </si>
  <si>
    <t>召唤上古神兽幽冥花妖</t>
  </si>
  <si>
    <t>11586</t>
  </si>
  <si>
    <t>1</t>
  </si>
  <si>
    <t>浪漫满屏</t>
  </si>
  <si>
    <t>造成大量伤害，同时获得减伤80%效果，持续30秒</t>
  </si>
  <si>
    <t>11587</t>
  </si>
  <si>
    <t>20000001,20000001</t>
  </si>
  <si>
    <t>19001</t>
  </si>
  <si>
    <t>11007</t>
  </si>
  <si>
    <t>火力全开</t>
  </si>
  <si>
    <t>11590</t>
  </si>
  <si>
    <t>5200</t>
  </si>
  <si>
    <t>11008</t>
  </si>
  <si>
    <t>一叶知秋</t>
  </si>
  <si>
    <t>获得突破丹*10,重生符*2</t>
  </si>
  <si>
    <t>12252</t>
  </si>
  <si>
    <t>19</t>
  </si>
  <si>
    <t>1,1002,10;1,1010,2</t>
  </si>
  <si>
    <t>对boss造成100000点额外伤害</t>
  </si>
  <si>
    <t>20000006,20000006</t>
  </si>
  <si>
    <t>21007</t>
  </si>
  <si>
    <t>立即打出一次额外攻击</t>
  </si>
  <si>
    <t>20000002,1070201</t>
  </si>
  <si>
    <t>立即打出一次大额伤害</t>
  </si>
  <si>
    <t>20000003,20000007</t>
  </si>
  <si>
    <t>召唤花妖助阵，攻击对方阵营，且吸收对方造成的伤害</t>
  </si>
  <si>
    <t>召唤龙吟宝剑进行攻击</t>
  </si>
  <si>
    <t>20000004,20000004</t>
  </si>
  <si>
    <t>召唤青龙助阵，对对方阵营造成巨额的伤害，且吸收对方造成的伤害</t>
  </si>
  <si>
    <t>召唤星辰之力进行攻击，造成巨额伤害</t>
  </si>
  <si>
    <t>20000005,20000005</t>
  </si>
  <si>
    <t>立即复活，次数可保存</t>
  </si>
  <si>
    <t>回血1000000</t>
  </si>
  <si>
    <t>小号剑阵，伤害</t>
  </si>
  <si>
    <t>199</t>
  </si>
  <si>
    <t>20000004,20000100</t>
  </si>
  <si>
    <t>雷霆剑阵，伤害+减伤</t>
  </si>
  <si>
    <t>雷霆剑阵，伤害</t>
    <phoneticPr fontId="10" type="noConversion"/>
  </si>
  <si>
    <t>立刻回血100%</t>
    <phoneticPr fontId="10" type="noConversion"/>
  </si>
  <si>
    <t>20000006,20000101</t>
    <phoneticPr fontId="10" type="noConversion"/>
  </si>
  <si>
    <t>20000001,20000001</t>
    <phoneticPr fontId="10" type="noConversion"/>
  </si>
  <si>
    <t>20000001,20000201</t>
    <phoneticPr fontId="10" type="noConversion"/>
  </si>
  <si>
    <t>20000006,20000202</t>
    <phoneticPr fontId="10" type="noConversion"/>
  </si>
  <si>
    <t>小号剑阵，伤害</t>
    <phoneticPr fontId="10" type="noConversion"/>
  </si>
  <si>
    <t>arenaNum</t>
    <phoneticPr fontId="10" type="noConversion"/>
  </si>
  <si>
    <t>dungeonNum</t>
    <phoneticPr fontId="10" type="noConversion"/>
  </si>
  <si>
    <t>51005</t>
    <phoneticPr fontId="10" type="noConversion"/>
  </si>
  <si>
    <t>增加1次副本次数</t>
    <phoneticPr fontId="10" type="noConversion"/>
  </si>
  <si>
    <t>1</t>
    <phoneticPr fontId="10" type="noConversion"/>
  </si>
  <si>
    <t>增加副本次数</t>
    <phoneticPr fontId="10" type="noConversion"/>
  </si>
  <si>
    <t>InvadeAddNum</t>
    <phoneticPr fontId="10" type="noConversion"/>
  </si>
  <si>
    <t>入侵次数</t>
    <phoneticPr fontId="10" type="noConversion"/>
  </si>
  <si>
    <t>string</t>
    <phoneticPr fontId="10" type="noConversion"/>
  </si>
  <si>
    <t>3,1</t>
    <phoneticPr fontId="10" type="noConversion"/>
  </si>
  <si>
    <t>71005</t>
    <phoneticPr fontId="10" type="noConversion"/>
  </si>
  <si>
    <t>71003</t>
    <phoneticPr fontId="10" type="noConversion"/>
  </si>
  <si>
    <t>回血</t>
  </si>
  <si>
    <t>免伤10次</t>
  </si>
  <si>
    <t>增伤20%，持续10秒</t>
  </si>
  <si>
    <t>小号剑阵，只有群伤</t>
  </si>
  <si>
    <t>单体闪电伤害20次</t>
  </si>
  <si>
    <t>群伤+单体闪电伤害N次，增加复活次数5次</t>
  </si>
  <si>
    <t>revive</t>
    <phoneticPr fontId="10" type="noConversion"/>
  </si>
  <si>
    <t>plat</t>
    <phoneticPr fontId="10" type="noConversion"/>
  </si>
  <si>
    <t>平台</t>
    <phoneticPr fontId="10" type="noConversion"/>
  </si>
  <si>
    <t>n1/Dg1905sj1FyoBlQBvmbaDZFBNaKuKZH6zxHkv8Lg5x2cRfrKUTb8gzMs=</t>
  </si>
  <si>
    <t>28rYzVFNyXEXFC8HI+f/WG+I7a6lfl3OyZZjUS+CVuwCgYZrPrUdytGHu0c=</t>
  </si>
  <si>
    <t>PJ0FFeaDzXUreuUBZH6Hs+b56Jh0tQjrq0bIrrlZmv13GSAL9Q1hf59fjGk=</t>
  </si>
  <si>
    <t>IkkadLfz7O/a5UR45p/OOCCG6ewAWVbsuzR/Z+v1v76CBU+mTG/wPjqdpfg=</t>
  </si>
  <si>
    <t>gx7pmjQfhBaDOG2XkWI2peZ66YFWkCWRjZXpTqb23O/epru+sxWyTV/3Ufs=</t>
  </si>
  <si>
    <t>YbLESoUj053FWVYPWUNOAtp4FYnb+/eZbyrLi7ndArVFz14rivgxf0cFrKs=</t>
  </si>
  <si>
    <t>3000</t>
    <phoneticPr fontId="10" type="noConversion"/>
  </si>
  <si>
    <t>fJs8HKQ0xlPRixn8JAUiL2gFRiLD9S6IFCFdvZODSnhyo9YN8q7xUuVVyZI=</t>
  </si>
  <si>
    <t>dou</t>
    <phoneticPr fontId="10" type="noConversion"/>
  </si>
  <si>
    <t>uniqueId</t>
    <phoneticPr fontId="10" type="noConversion"/>
  </si>
  <si>
    <t>kwai</t>
    <phoneticPr fontId="10" type="noConversion"/>
  </si>
  <si>
    <t>仙女棒</t>
  </si>
  <si>
    <t>能力药丸</t>
  </si>
  <si>
    <t>甜甜圈</t>
  </si>
  <si>
    <t>能量电池</t>
  </si>
  <si>
    <t>爱的爆炸</t>
  </si>
  <si>
    <t>派对话筒</t>
  </si>
  <si>
    <t>稀有宝箱</t>
  </si>
  <si>
    <t>魔法镜</t>
  </si>
  <si>
    <t>n1/Dg1905sj1FyoBlQBvmbaDZFBNaKuKZH6zxHkv8Lg5x2cRfrKUTb8gzMs=</t>
    <phoneticPr fontId="10" type="noConversion"/>
  </si>
  <si>
    <t>28rYzVFNyXEXFC8HI+f/WG+I7a6lfl3OyZZjUS+CVuwCgYZrPrUdytGHu0c=</t>
    <phoneticPr fontId="10" type="noConversion"/>
  </si>
  <si>
    <t>gx7pmjQfhBaDOG2XkWI2peZ66YFWkCWRjZXpTqb23O/epru+sxWyTV/3Ufs=</t>
    <phoneticPr fontId="10" type="noConversion"/>
  </si>
  <si>
    <t>YbLESoUj053FWVYPWUNOAtp4FYnb+/eZbyrLi7ndArVFz14rivgxf0cFrKs=</t>
    <phoneticPr fontId="10" type="noConversion"/>
  </si>
  <si>
    <t>20000001,20000101</t>
    <phoneticPr fontId="10" type="noConversion"/>
  </si>
  <si>
    <t>rROiXLcY2saGvxHt3fAkYbWvbbikhEzbo0wpI794zEv+A2SCLrkNKYZEVuE=</t>
    <phoneticPr fontId="10" type="noConversion"/>
  </si>
  <si>
    <t>PJ0FFeaDzXUreuUBZH6Hs+b56Jh0tQjrq0bIrrlZmv13GSAL9Q1hf59fjGk=</t>
    <phoneticPr fontId="10" type="noConversion"/>
  </si>
  <si>
    <t>助威</t>
  </si>
  <si>
    <t>金色话筒</t>
  </si>
  <si>
    <t>开心云朵</t>
    <phoneticPr fontId="10" type="noConversion"/>
  </si>
  <si>
    <t>引力号角</t>
  </si>
  <si>
    <t>护盾</t>
  </si>
  <si>
    <t>守护之翼</t>
  </si>
  <si>
    <t>魔法锤子</t>
  </si>
  <si>
    <t>20</t>
    <phoneticPr fontId="10" type="noConversion"/>
  </si>
  <si>
    <t>tme</t>
    <phoneticPr fontId="10" type="noConversion"/>
  </si>
  <si>
    <t>4898</t>
  </si>
  <si>
    <t>5887</t>
  </si>
  <si>
    <t>9790</t>
  </si>
  <si>
    <t>4895</t>
  </si>
  <si>
    <t>4896</t>
  </si>
  <si>
    <t>7028</t>
  </si>
  <si>
    <t>5478</t>
  </si>
  <si>
    <t>手摇铃</t>
    <phoneticPr fontId="10" type="noConversion"/>
  </si>
  <si>
    <t>50</t>
    <phoneticPr fontId="10" type="noConversion"/>
  </si>
  <si>
    <t>1320</t>
  </si>
  <si>
    <t>1321</t>
  </si>
  <si>
    <t>1602</t>
  </si>
  <si>
    <t>4893</t>
  </si>
  <si>
    <t>1486</t>
  </si>
  <si>
    <t>1294</t>
  </si>
  <si>
    <t>1319</t>
  </si>
  <si>
    <t>1455</t>
  </si>
  <si>
    <t>2072</t>
  </si>
  <si>
    <t>|</t>
    <phoneticPr fontId="10" type="noConversion"/>
  </si>
  <si>
    <t>4898|1486</t>
  </si>
  <si>
    <t>5887|1294</t>
  </si>
  <si>
    <t>4893|1319</t>
  </si>
  <si>
    <t>4895|1320</t>
  </si>
  <si>
    <t>4896|1321</t>
  </si>
  <si>
    <t>7028|1602</t>
  </si>
  <si>
    <t>5478|1455</t>
  </si>
  <si>
    <t>9790|2072</t>
  </si>
  <si>
    <t>获得1*攻元丹、2*命元丹</t>
    <phoneticPr fontId="10" type="noConversion"/>
  </si>
  <si>
    <t>1,1064,1</t>
    <phoneticPr fontId="10" type="noConversion"/>
  </si>
  <si>
    <t>1,1012,1</t>
    <phoneticPr fontId="10" type="noConversion"/>
  </si>
  <si>
    <t>1,1005,100;1,1006,25;1,1007,25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</si>
</sst>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1" fillId="0" borderId="0"/>
    <xf numFmtId="0" fontId="7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2" fillId="3" borderId="1" xfId="1" applyBorder="1" applyAlignment="1">
      <alignment vertical="center"/>
    </xf>
    <xf numFmtId="0" fontId="0" fillId="0" borderId="0" xfId="0" applyAlignment="1">
      <alignment horizontal="left" vertical="center"/>
    </xf>
    <xf numFmtId="0" fontId="3" fillId="4" borderId="1" xfId="2" applyBorder="1" applyAlignment="1">
      <alignment vertical="center"/>
    </xf>
    <xf numFmtId="49" fontId="0" fillId="0" borderId="0" xfId="0" applyNumberFormat="1" applyAlignment="1">
      <alignment horizontal="left" vertical="center"/>
    </xf>
    <xf numFmtId="49" fontId="4" fillId="0" borderId="0" xfId="3" applyNumberFormat="1" applyAlignment="1">
      <alignment horizontal="center" vertical="center"/>
    </xf>
    <xf numFmtId="49" fontId="5" fillId="0" borderId="0" xfId="3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49" fontId="4" fillId="2" borderId="0" xfId="3" applyNumberFormat="1" applyFill="1" applyAlignment="1">
      <alignment horizontal="center" vertical="center"/>
    </xf>
    <xf numFmtId="49" fontId="7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49" fontId="7" fillId="0" borderId="0" xfId="0" applyNumberFormat="1" applyFont="1">
      <alignment vertical="center"/>
    </xf>
    <xf numFmtId="49" fontId="7" fillId="0" borderId="0" xfId="0" applyNumberFormat="1" applyFont="1" applyAlignment="1">
      <alignment horizontal="center" vertical="center"/>
    </xf>
    <xf numFmtId="0" fontId="4" fillId="0" borderId="0" xfId="3" applyAlignment="1">
      <alignment horizontal="center" vertical="center"/>
    </xf>
    <xf numFmtId="0" fontId="4" fillId="2" borderId="0" xfId="3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1" fillId="0" borderId="0" xfId="5" applyAlignment="1"/>
    <xf numFmtId="0" fontId="12" fillId="0" borderId="0" xfId="5" applyFont="1" applyAlignment="1"/>
    <xf numFmtId="0" fontId="5" fillId="0" borderId="0" xfId="3" applyFont="1" applyAlignment="1">
      <alignment horizontal="center" vertical="center"/>
    </xf>
    <xf numFmtId="0" fontId="7" fillId="0" borderId="0" xfId="0" applyFont="1">
      <alignment vertical="center"/>
    </xf>
  </cellXfs>
  <cellStyles count="13">
    <cellStyle name="差" xfId="2" builtinId="27"/>
    <cellStyle name="差 2" xfId="12" xr:uid="{ABA5DEC9-C4DF-41E3-8AC0-2507F422834A}"/>
    <cellStyle name="差 3" xfId="9" xr:uid="{4B8560BE-EACC-4512-BA02-5D3722AF98B5}"/>
    <cellStyle name="常规" xfId="0" builtinId="0"/>
    <cellStyle name="常规 2" xfId="3" xr:uid="{00000000-0005-0000-0000-000031000000}"/>
    <cellStyle name="常规 3" xfId="4" xr:uid="{0045060E-16EC-44CB-9BF7-BDC58BDB4717}"/>
    <cellStyle name="常规 4" xfId="5" xr:uid="{A24B4F24-862F-44A8-9DCB-58483EF421C4}"/>
    <cellStyle name="常规 4 2" xfId="10" xr:uid="{8F8AC644-40E8-4280-8F31-540A87FC7F92}"/>
    <cellStyle name="常规 5" xfId="7" xr:uid="{87785E56-AA50-4D5B-A51B-211206F9C129}"/>
    <cellStyle name="常规 6" xfId="6" xr:uid="{EE9C2C55-E64E-4A96-A3B4-DB8D00BE7908}"/>
    <cellStyle name="好" xfId="1" builtinId="26"/>
    <cellStyle name="好 2" xfId="11" xr:uid="{2C763461-53AA-4F74-99EE-010C4445FA6D}"/>
    <cellStyle name="好 3" xfId="8" xr:uid="{5D3D5522-2E34-491B-B82D-FFD75D5F08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5"/>
  <sheetViews>
    <sheetView tabSelected="1" topLeftCell="E1" workbookViewId="0">
      <pane ySplit="5" topLeftCell="A33" activePane="bottomLeft" state="frozen"/>
      <selection pane="bottomLeft" activeCell="K49" sqref="K49"/>
    </sheetView>
  </sheetViews>
  <sheetFormatPr defaultColWidth="9" defaultRowHeight="13.5" x14ac:dyDescent="0.3"/>
  <cols>
    <col min="2" max="2" width="9" style="2"/>
    <col min="3" max="4" width="9.46484375" style="2" customWidth="1"/>
    <col min="5" max="5" width="12.265625" customWidth="1"/>
    <col min="6" max="6" width="10.265625" customWidth="1"/>
    <col min="7" max="7" width="41.86328125" customWidth="1"/>
    <col min="8" max="8" width="9.73046875" customWidth="1"/>
    <col min="9" max="9" width="67.3984375" style="3" customWidth="1"/>
    <col min="10" max="10" width="12.86328125" style="3" customWidth="1"/>
    <col min="11" max="11" width="15.265625" style="3" customWidth="1"/>
    <col min="12" max="12" width="11.265625" style="4" customWidth="1"/>
    <col min="13" max="13" width="15.6640625" style="4" customWidth="1"/>
    <col min="14" max="14" width="15.265625" style="3" customWidth="1"/>
    <col min="15" max="15" width="12.265625" style="3" customWidth="1"/>
    <col min="16" max="16" width="13.59765625" style="3" customWidth="1"/>
    <col min="17" max="21" width="15.265625" style="3" customWidth="1"/>
    <col min="22" max="22" width="19.73046875" style="3" customWidth="1"/>
    <col min="23" max="23" width="17.265625" style="3" customWidth="1"/>
    <col min="24" max="25" width="15.265625" style="3" customWidth="1"/>
    <col min="26" max="26" width="15.59765625" customWidth="1"/>
  </cols>
  <sheetData>
    <row r="1" spans="1:28" x14ac:dyDescent="0.3">
      <c r="A1" s="5" t="s">
        <v>0</v>
      </c>
      <c r="B1" s="2" t="s">
        <v>1</v>
      </c>
      <c r="C1" s="24" t="s">
        <v>147</v>
      </c>
      <c r="D1" s="24" t="s">
        <v>136</v>
      </c>
      <c r="E1" t="s">
        <v>2</v>
      </c>
      <c r="F1" t="s">
        <v>3</v>
      </c>
      <c r="G1" t="s">
        <v>4</v>
      </c>
      <c r="H1" t="s">
        <v>5</v>
      </c>
      <c r="I1" s="3" t="s">
        <v>6</v>
      </c>
      <c r="J1" s="6" t="s">
        <v>7</v>
      </c>
      <c r="K1" s="3" t="s">
        <v>8</v>
      </c>
      <c r="L1" s="4" t="s">
        <v>9</v>
      </c>
      <c r="M1" s="19" t="s">
        <v>123</v>
      </c>
      <c r="N1" s="3" t="s">
        <v>10</v>
      </c>
      <c r="O1" s="3" t="s">
        <v>11</v>
      </c>
      <c r="P1" s="18" t="s">
        <v>117</v>
      </c>
      <c r="Q1" s="18" t="s">
        <v>12</v>
      </c>
      <c r="R1" s="18" t="s">
        <v>135</v>
      </c>
      <c r="S1" s="18" t="s">
        <v>13</v>
      </c>
      <c r="T1" s="18" t="s">
        <v>118</v>
      </c>
      <c r="U1" s="19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t="s">
        <v>19</v>
      </c>
      <c r="AA1" s="3" t="s">
        <v>20</v>
      </c>
      <c r="AB1" s="3" t="s">
        <v>21</v>
      </c>
    </row>
    <row r="2" spans="1:28" x14ac:dyDescent="0.3">
      <c r="A2" s="5" t="s">
        <v>0</v>
      </c>
    </row>
    <row r="3" spans="1:28" x14ac:dyDescent="0.3">
      <c r="A3" s="7" t="s">
        <v>22</v>
      </c>
      <c r="B3" s="2" t="s">
        <v>23</v>
      </c>
      <c r="C3" s="2" t="s">
        <v>23</v>
      </c>
      <c r="D3" t="s">
        <v>24</v>
      </c>
      <c r="E3" t="s">
        <v>24</v>
      </c>
      <c r="F3" t="s">
        <v>24</v>
      </c>
      <c r="H3" s="6" t="s">
        <v>25</v>
      </c>
      <c r="I3" t="s">
        <v>24</v>
      </c>
      <c r="J3" s="2" t="s">
        <v>23</v>
      </c>
      <c r="K3" t="s">
        <v>26</v>
      </c>
      <c r="L3" s="2" t="s">
        <v>27</v>
      </c>
      <c r="M3" s="24" t="s">
        <v>125</v>
      </c>
      <c r="N3" s="2" t="s">
        <v>23</v>
      </c>
      <c r="O3" t="s">
        <v>27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t="s">
        <v>28</v>
      </c>
      <c r="W3" s="3" t="s">
        <v>29</v>
      </c>
      <c r="X3" s="2" t="s">
        <v>23</v>
      </c>
      <c r="Y3" t="s">
        <v>26</v>
      </c>
      <c r="Z3" s="2" t="s">
        <v>23</v>
      </c>
      <c r="AA3" t="s">
        <v>27</v>
      </c>
      <c r="AB3" t="s">
        <v>26</v>
      </c>
    </row>
    <row r="4" spans="1:28" x14ac:dyDescent="0.3">
      <c r="A4" s="7" t="s">
        <v>30</v>
      </c>
    </row>
    <row r="5" spans="1:28" x14ac:dyDescent="0.3">
      <c r="A5" s="5" t="s">
        <v>4</v>
      </c>
      <c r="B5" s="2" t="s">
        <v>1</v>
      </c>
      <c r="C5" s="2" t="s">
        <v>1</v>
      </c>
      <c r="D5" s="24" t="s">
        <v>137</v>
      </c>
      <c r="E5" t="s">
        <v>31</v>
      </c>
      <c r="F5" t="s">
        <v>32</v>
      </c>
      <c r="G5" t="s">
        <v>32</v>
      </c>
      <c r="H5" t="s">
        <v>33</v>
      </c>
      <c r="I5" s="3" t="s">
        <v>34</v>
      </c>
      <c r="J5" s="3" t="s">
        <v>35</v>
      </c>
      <c r="K5" s="3" t="s">
        <v>36</v>
      </c>
      <c r="M5" s="19" t="s">
        <v>124</v>
      </c>
      <c r="N5" s="3" t="s">
        <v>37</v>
      </c>
      <c r="O5" s="3" t="s">
        <v>38</v>
      </c>
      <c r="P5" s="3" t="s">
        <v>39</v>
      </c>
      <c r="Q5" s="3" t="s">
        <v>40</v>
      </c>
      <c r="R5" s="18" t="s">
        <v>41</v>
      </c>
      <c r="S5" s="18" t="s">
        <v>42</v>
      </c>
      <c r="T5" s="18" t="s">
        <v>122</v>
      </c>
      <c r="U5" s="18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t="s">
        <v>48</v>
      </c>
      <c r="AA5" s="3" t="s">
        <v>49</v>
      </c>
      <c r="AB5" s="3" t="s">
        <v>50</v>
      </c>
    </row>
    <row r="6" spans="1:28" x14ac:dyDescent="0.3">
      <c r="B6" s="2">
        <f>C6+100000</f>
        <v>111001</v>
      </c>
      <c r="C6" s="8" t="s">
        <v>51</v>
      </c>
      <c r="D6" s="19" t="s">
        <v>148</v>
      </c>
      <c r="E6" s="6" t="s">
        <v>52</v>
      </c>
      <c r="F6" s="6"/>
      <c r="G6" s="6" t="s">
        <v>53</v>
      </c>
      <c r="H6" s="6">
        <v>1</v>
      </c>
      <c r="I6" s="9" t="s">
        <v>54</v>
      </c>
      <c r="J6" s="9">
        <v>1</v>
      </c>
      <c r="K6"/>
      <c r="L6" s="2">
        <v>1</v>
      </c>
      <c r="M6" s="24" t="s">
        <v>126</v>
      </c>
      <c r="N6" s="2">
        <v>1</v>
      </c>
      <c r="O6"/>
      <c r="P6"/>
      <c r="Q6"/>
      <c r="R6"/>
      <c r="S6"/>
      <c r="T6"/>
      <c r="U6"/>
      <c r="V6"/>
      <c r="W6" s="2">
        <v>19006</v>
      </c>
      <c r="X6"/>
      <c r="Y6"/>
    </row>
    <row r="7" spans="1:28" x14ac:dyDescent="0.3">
      <c r="B7" s="2">
        <f t="shared" ref="B7:B45" si="0">C7+100000</f>
        <v>111002</v>
      </c>
      <c r="C7" s="8">
        <v>11002</v>
      </c>
      <c r="D7" s="19" t="s">
        <v>148</v>
      </c>
      <c r="E7" s="6" t="s">
        <v>55</v>
      </c>
      <c r="F7" s="6"/>
      <c r="G7" s="6" t="s">
        <v>56</v>
      </c>
      <c r="H7" s="6">
        <v>1</v>
      </c>
      <c r="I7" s="10" t="s">
        <v>57</v>
      </c>
      <c r="J7" s="9" t="s">
        <v>58</v>
      </c>
      <c r="K7" s="9" t="s">
        <v>202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2">
        <v>10</v>
      </c>
      <c r="AB7" t="s">
        <v>60</v>
      </c>
    </row>
    <row r="8" spans="1:28" x14ac:dyDescent="0.3">
      <c r="B8" s="2">
        <f t="shared" si="0"/>
        <v>111003</v>
      </c>
      <c r="C8" s="8">
        <v>11003</v>
      </c>
      <c r="D8" s="19" t="s">
        <v>148</v>
      </c>
      <c r="E8" s="6" t="s">
        <v>61</v>
      </c>
      <c r="F8" s="6"/>
      <c r="G8" s="6" t="s">
        <v>62</v>
      </c>
      <c r="H8" s="6">
        <v>1</v>
      </c>
      <c r="I8" s="9" t="s">
        <v>63</v>
      </c>
      <c r="J8" s="9">
        <v>52</v>
      </c>
      <c r="K8" s="9" t="s">
        <v>64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 t="s">
        <v>58</v>
      </c>
      <c r="Y8" s="9" t="s">
        <v>65</v>
      </c>
    </row>
    <row r="9" spans="1:28" x14ac:dyDescent="0.3">
      <c r="B9" s="2">
        <f t="shared" si="0"/>
        <v>111004</v>
      </c>
      <c r="C9" s="8">
        <v>11004</v>
      </c>
      <c r="D9" s="19" t="s">
        <v>148</v>
      </c>
      <c r="E9" s="6" t="s">
        <v>66</v>
      </c>
      <c r="F9" s="6"/>
      <c r="G9" s="6" t="s">
        <v>67</v>
      </c>
      <c r="H9" s="6">
        <v>1</v>
      </c>
      <c r="I9" s="9" t="s">
        <v>68</v>
      </c>
      <c r="J9" s="9">
        <v>99</v>
      </c>
      <c r="K9" s="9" t="s">
        <v>69</v>
      </c>
      <c r="L9" s="9"/>
      <c r="M9" s="9"/>
      <c r="N9" s="9"/>
      <c r="O9" s="9"/>
      <c r="P9" s="9" t="s">
        <v>70</v>
      </c>
      <c r="Q9" s="9"/>
      <c r="R9" s="9"/>
      <c r="S9" s="9"/>
      <c r="T9" s="9"/>
      <c r="U9" s="9"/>
      <c r="V9" s="9"/>
      <c r="W9" s="9"/>
      <c r="X9" s="9" t="s">
        <v>58</v>
      </c>
      <c r="Y9" s="9" t="s">
        <v>71</v>
      </c>
      <c r="Z9" s="20"/>
    </row>
    <row r="10" spans="1:28" x14ac:dyDescent="0.3">
      <c r="B10" s="2">
        <f t="shared" si="0"/>
        <v>111005</v>
      </c>
      <c r="C10" s="8">
        <v>11005</v>
      </c>
      <c r="D10" s="19" t="s">
        <v>148</v>
      </c>
      <c r="E10" s="6" t="s">
        <v>72</v>
      </c>
      <c r="F10" s="11"/>
      <c r="G10" s="11" t="s">
        <v>73</v>
      </c>
      <c r="H10" s="6">
        <v>1</v>
      </c>
      <c r="I10" s="9" t="s">
        <v>74</v>
      </c>
      <c r="J10" s="9">
        <v>199</v>
      </c>
      <c r="K10" s="9"/>
      <c r="L10" s="9"/>
      <c r="M10" s="9"/>
      <c r="N10" s="9"/>
      <c r="O10" s="9" t="s">
        <v>75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20">
        <v>1</v>
      </c>
      <c r="AA10">
        <v>1</v>
      </c>
    </row>
    <row r="11" spans="1:28" x14ac:dyDescent="0.3">
      <c r="B11" s="2">
        <f t="shared" si="0"/>
        <v>111006</v>
      </c>
      <c r="C11" s="8">
        <v>11006</v>
      </c>
      <c r="D11" s="19" t="s">
        <v>148</v>
      </c>
      <c r="E11" s="6" t="s">
        <v>76</v>
      </c>
      <c r="F11" s="6"/>
      <c r="G11" s="6" t="s">
        <v>77</v>
      </c>
      <c r="H11" s="6">
        <v>1</v>
      </c>
      <c r="I11" s="9" t="s">
        <v>78</v>
      </c>
      <c r="J11" s="9">
        <v>299</v>
      </c>
      <c r="K11" s="9"/>
      <c r="L11" s="9" t="s">
        <v>75</v>
      </c>
      <c r="M11" s="9"/>
      <c r="N11" s="9"/>
      <c r="O11" s="9"/>
      <c r="P11" s="9"/>
      <c r="Q11" s="9"/>
      <c r="R11" s="9"/>
      <c r="S11" s="9"/>
      <c r="T11" s="9"/>
      <c r="U11" s="9"/>
      <c r="V11" s="9" t="s">
        <v>113</v>
      </c>
      <c r="W11" s="9" t="s">
        <v>80</v>
      </c>
      <c r="X11" s="9"/>
      <c r="Y11" s="9"/>
      <c r="Z11" s="20"/>
    </row>
    <row r="12" spans="1:28" s="1" customFormat="1" x14ac:dyDescent="0.3">
      <c r="B12" s="2">
        <f t="shared" si="0"/>
        <v>111007</v>
      </c>
      <c r="C12" s="12" t="s">
        <v>81</v>
      </c>
      <c r="D12" s="19" t="s">
        <v>148</v>
      </c>
      <c r="E12" s="13" t="s">
        <v>82</v>
      </c>
      <c r="F12" s="13"/>
      <c r="G12" s="13" t="s">
        <v>43</v>
      </c>
      <c r="H12" s="13">
        <v>1</v>
      </c>
      <c r="I12" s="14" t="s">
        <v>83</v>
      </c>
      <c r="J12" s="14" t="s">
        <v>84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 t="s">
        <v>75</v>
      </c>
      <c r="V12" s="14"/>
      <c r="W12" s="14"/>
      <c r="X12" s="14"/>
      <c r="Y12" s="14"/>
      <c r="Z12" s="21"/>
    </row>
    <row r="13" spans="1:28" s="1" customFormat="1" x14ac:dyDescent="0.3">
      <c r="B13" s="2">
        <f t="shared" si="0"/>
        <v>111008</v>
      </c>
      <c r="C13" s="15" t="s">
        <v>85</v>
      </c>
      <c r="D13" s="19" t="s">
        <v>148</v>
      </c>
      <c r="E13" s="16" t="s">
        <v>86</v>
      </c>
      <c r="F13" s="13"/>
      <c r="G13" s="16" t="s">
        <v>87</v>
      </c>
      <c r="H13" s="13">
        <v>1</v>
      </c>
      <c r="I13" s="14" t="s">
        <v>88</v>
      </c>
      <c r="J13" s="14" t="s">
        <v>89</v>
      </c>
      <c r="K13" s="14" t="s">
        <v>90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21"/>
    </row>
    <row r="14" spans="1:28" x14ac:dyDescent="0.3">
      <c r="B14" s="2">
        <f t="shared" si="0"/>
        <v>121001</v>
      </c>
      <c r="C14" s="8">
        <v>21001</v>
      </c>
      <c r="D14" s="19" t="s">
        <v>148</v>
      </c>
      <c r="E14" s="6" t="s">
        <v>52</v>
      </c>
      <c r="F14" s="6"/>
      <c r="G14" s="6" t="s">
        <v>53</v>
      </c>
      <c r="H14" s="6">
        <v>2</v>
      </c>
      <c r="I14" s="9" t="s">
        <v>54</v>
      </c>
      <c r="J14" s="9">
        <v>1</v>
      </c>
      <c r="K14"/>
      <c r="L14" s="2"/>
      <c r="M14" s="2"/>
      <c r="N14"/>
      <c r="O14"/>
      <c r="P14"/>
      <c r="Q14"/>
      <c r="R14"/>
      <c r="S14"/>
      <c r="T14"/>
      <c r="U14"/>
      <c r="V14" s="9"/>
      <c r="W14" s="2">
        <v>19006</v>
      </c>
      <c r="X14"/>
      <c r="Y14"/>
    </row>
    <row r="15" spans="1:28" x14ac:dyDescent="0.3">
      <c r="B15" s="2">
        <f t="shared" si="0"/>
        <v>121002</v>
      </c>
      <c r="C15" s="8">
        <v>21002</v>
      </c>
      <c r="D15" s="19" t="s">
        <v>148</v>
      </c>
      <c r="E15" s="6" t="s">
        <v>55</v>
      </c>
      <c r="F15" s="6"/>
      <c r="G15" s="6" t="s">
        <v>56</v>
      </c>
      <c r="H15" s="6">
        <v>2</v>
      </c>
      <c r="I15" s="10" t="s">
        <v>57</v>
      </c>
      <c r="J15" s="9" t="s">
        <v>58</v>
      </c>
      <c r="K15" s="9" t="s">
        <v>59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2">
        <v>10</v>
      </c>
      <c r="AB15" t="s">
        <v>60</v>
      </c>
    </row>
    <row r="16" spans="1:28" x14ac:dyDescent="0.3">
      <c r="B16" s="2">
        <f t="shared" si="0"/>
        <v>121003</v>
      </c>
      <c r="C16" s="8">
        <v>21003</v>
      </c>
      <c r="D16" s="19" t="s">
        <v>148</v>
      </c>
      <c r="E16" s="6" t="s">
        <v>61</v>
      </c>
      <c r="F16" s="6"/>
      <c r="G16" s="6" t="s">
        <v>62</v>
      </c>
      <c r="H16" s="6">
        <v>2</v>
      </c>
      <c r="I16" s="9" t="s">
        <v>63</v>
      </c>
      <c r="J16" s="9">
        <v>52</v>
      </c>
      <c r="K16" s="9" t="s">
        <v>64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 t="s">
        <v>58</v>
      </c>
      <c r="Y16" s="9" t="s">
        <v>65</v>
      </c>
    </row>
    <row r="17" spans="2:26" x14ac:dyDescent="0.3">
      <c r="B17" s="2">
        <f t="shared" si="0"/>
        <v>121004</v>
      </c>
      <c r="C17" s="8">
        <v>21004</v>
      </c>
      <c r="D17" s="19" t="s">
        <v>148</v>
      </c>
      <c r="E17" s="6" t="s">
        <v>66</v>
      </c>
      <c r="F17" s="6"/>
      <c r="G17" s="6" t="s">
        <v>67</v>
      </c>
      <c r="H17" s="6">
        <v>2</v>
      </c>
      <c r="I17" s="9" t="s">
        <v>68</v>
      </c>
      <c r="J17" s="9">
        <v>99</v>
      </c>
      <c r="K17" s="9" t="s">
        <v>69</v>
      </c>
      <c r="L17" s="9"/>
      <c r="M17" s="9"/>
      <c r="N17" s="9"/>
      <c r="O17" s="9"/>
      <c r="P17" s="9" t="s">
        <v>70</v>
      </c>
      <c r="Q17" s="9"/>
      <c r="R17" s="9"/>
      <c r="S17" s="9"/>
      <c r="T17" s="9"/>
      <c r="U17" s="9"/>
      <c r="V17" s="9"/>
      <c r="W17" s="9"/>
      <c r="X17" s="9" t="s">
        <v>58</v>
      </c>
      <c r="Y17" s="9" t="s">
        <v>71</v>
      </c>
      <c r="Z17" s="20"/>
    </row>
    <row r="18" spans="2:26" x14ac:dyDescent="0.3">
      <c r="B18" s="2">
        <f t="shared" si="0"/>
        <v>121005</v>
      </c>
      <c r="C18" s="8">
        <v>21005</v>
      </c>
      <c r="D18" s="19" t="s">
        <v>148</v>
      </c>
      <c r="E18" s="6" t="s">
        <v>72</v>
      </c>
      <c r="F18" s="6"/>
      <c r="G18" s="17" t="s">
        <v>91</v>
      </c>
      <c r="H18" s="6">
        <v>2</v>
      </c>
      <c r="I18" s="9" t="s">
        <v>74</v>
      </c>
      <c r="J18" s="9">
        <v>199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 t="s">
        <v>92</v>
      </c>
      <c r="W18" s="9"/>
      <c r="X18" s="9"/>
      <c r="Y18" s="9"/>
      <c r="Z18" s="20"/>
    </row>
    <row r="19" spans="2:26" ht="27" x14ac:dyDescent="0.3">
      <c r="B19" s="2">
        <f t="shared" si="0"/>
        <v>121006</v>
      </c>
      <c r="C19" s="8">
        <v>21006</v>
      </c>
      <c r="D19" s="19" t="s">
        <v>148</v>
      </c>
      <c r="E19" s="6" t="s">
        <v>76</v>
      </c>
      <c r="F19" s="6"/>
      <c r="G19" s="17" t="s">
        <v>77</v>
      </c>
      <c r="H19" s="6">
        <v>2</v>
      </c>
      <c r="I19" s="9" t="s">
        <v>78</v>
      </c>
      <c r="J19" s="9">
        <v>299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 t="s">
        <v>161</v>
      </c>
      <c r="W19" s="9"/>
      <c r="X19" s="9"/>
      <c r="Y19" s="9"/>
      <c r="Z19" s="20"/>
    </row>
    <row r="20" spans="2:26" s="1" customFormat="1" x14ac:dyDescent="0.3">
      <c r="B20" s="2">
        <f t="shared" si="0"/>
        <v>121007</v>
      </c>
      <c r="C20" s="15" t="s">
        <v>93</v>
      </c>
      <c r="D20" s="19" t="s">
        <v>148</v>
      </c>
      <c r="E20" s="16" t="s">
        <v>86</v>
      </c>
      <c r="F20" s="13"/>
      <c r="G20" s="16" t="s">
        <v>87</v>
      </c>
      <c r="H20" s="13">
        <v>2</v>
      </c>
      <c r="I20" s="14" t="s">
        <v>88</v>
      </c>
      <c r="J20" s="14" t="s">
        <v>89</v>
      </c>
      <c r="K20" s="14" t="s">
        <v>90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21"/>
    </row>
    <row r="21" spans="2:26" x14ac:dyDescent="0.3">
      <c r="B21" s="2">
        <f t="shared" si="0"/>
        <v>131001</v>
      </c>
      <c r="C21" s="8">
        <v>31001</v>
      </c>
      <c r="D21" s="19" t="s">
        <v>148</v>
      </c>
      <c r="E21" s="6" t="s">
        <v>52</v>
      </c>
      <c r="F21" s="6"/>
      <c r="G21" s="6" t="s">
        <v>94</v>
      </c>
      <c r="H21" s="6">
        <v>3</v>
      </c>
      <c r="I21" s="9" t="s">
        <v>54</v>
      </c>
      <c r="J21" s="9">
        <v>1</v>
      </c>
      <c r="V21" s="9" t="s">
        <v>95</v>
      </c>
      <c r="W21" s="4"/>
    </row>
    <row r="22" spans="2:26" x14ac:dyDescent="0.3">
      <c r="B22" s="2">
        <f t="shared" si="0"/>
        <v>131002</v>
      </c>
      <c r="C22" s="8">
        <v>31002</v>
      </c>
      <c r="D22" s="19" t="s">
        <v>148</v>
      </c>
      <c r="E22" s="6" t="s">
        <v>55</v>
      </c>
      <c r="F22" s="6"/>
      <c r="G22" s="6" t="s">
        <v>96</v>
      </c>
      <c r="H22" s="6">
        <v>3</v>
      </c>
      <c r="I22" s="10" t="s">
        <v>57</v>
      </c>
      <c r="J22" s="9" t="s">
        <v>58</v>
      </c>
      <c r="V22" s="9" t="s">
        <v>97</v>
      </c>
      <c r="W22" s="4"/>
    </row>
    <row r="23" spans="2:26" x14ac:dyDescent="0.3">
      <c r="B23" s="2">
        <f t="shared" si="0"/>
        <v>131003</v>
      </c>
      <c r="C23" s="8">
        <v>31003</v>
      </c>
      <c r="D23" s="19" t="s">
        <v>148</v>
      </c>
      <c r="E23" s="6" t="s">
        <v>61</v>
      </c>
      <c r="F23" s="6"/>
      <c r="G23" s="6" t="s">
        <v>98</v>
      </c>
      <c r="H23" s="6">
        <v>3</v>
      </c>
      <c r="I23" s="9" t="s">
        <v>63</v>
      </c>
      <c r="J23" s="9">
        <v>52</v>
      </c>
      <c r="W23" s="4"/>
    </row>
    <row r="24" spans="2:26" x14ac:dyDescent="0.3">
      <c r="B24" s="2">
        <f t="shared" si="0"/>
        <v>131004</v>
      </c>
      <c r="C24" s="8">
        <v>31004</v>
      </c>
      <c r="D24" s="19" t="s">
        <v>148</v>
      </c>
      <c r="E24" s="6" t="s">
        <v>66</v>
      </c>
      <c r="F24" s="6"/>
      <c r="G24" s="6" t="s">
        <v>99</v>
      </c>
      <c r="H24" s="6">
        <v>3</v>
      </c>
      <c r="I24" s="9" t="s">
        <v>68</v>
      </c>
      <c r="J24" s="9">
        <v>99</v>
      </c>
      <c r="O24"/>
      <c r="P24"/>
      <c r="Q24"/>
      <c r="R24"/>
      <c r="S24"/>
      <c r="T24"/>
      <c r="U24"/>
      <c r="V24" s="9" t="s">
        <v>100</v>
      </c>
      <c r="W24" s="4"/>
    </row>
    <row r="25" spans="2:26" x14ac:dyDescent="0.3">
      <c r="B25" s="2">
        <f t="shared" si="0"/>
        <v>131005</v>
      </c>
      <c r="C25" s="8">
        <v>31005</v>
      </c>
      <c r="D25" s="19" t="s">
        <v>148</v>
      </c>
      <c r="E25" s="6" t="s">
        <v>72</v>
      </c>
      <c r="F25" s="6"/>
      <c r="G25" s="11" t="s">
        <v>101</v>
      </c>
      <c r="H25" s="6">
        <v>3</v>
      </c>
      <c r="I25" s="9" t="s">
        <v>74</v>
      </c>
      <c r="J25" s="9">
        <v>199</v>
      </c>
      <c r="W25" s="4"/>
    </row>
    <row r="26" spans="2:26" x14ac:dyDescent="0.3">
      <c r="B26" s="2">
        <f t="shared" si="0"/>
        <v>131006</v>
      </c>
      <c r="C26" s="8">
        <v>31006</v>
      </c>
      <c r="D26" s="19" t="s">
        <v>148</v>
      </c>
      <c r="E26" s="6" t="s">
        <v>76</v>
      </c>
      <c r="F26" s="6"/>
      <c r="G26" s="17" t="s">
        <v>102</v>
      </c>
      <c r="H26" s="6">
        <v>3</v>
      </c>
      <c r="I26" s="9" t="s">
        <v>78</v>
      </c>
      <c r="J26" s="9">
        <v>299</v>
      </c>
      <c r="V26" s="9" t="s">
        <v>103</v>
      </c>
      <c r="W26" s="4"/>
    </row>
    <row r="27" spans="2:26" x14ac:dyDescent="0.3">
      <c r="B27" s="2">
        <f t="shared" si="0"/>
        <v>141001</v>
      </c>
      <c r="C27" s="6">
        <v>41001</v>
      </c>
      <c r="D27" s="19" t="s">
        <v>148</v>
      </c>
      <c r="E27" s="13" t="s">
        <v>52</v>
      </c>
      <c r="F27" s="13"/>
      <c r="G27" s="13" t="s">
        <v>104</v>
      </c>
      <c r="H27" s="6">
        <v>4</v>
      </c>
      <c r="I27" s="9" t="s">
        <v>54</v>
      </c>
      <c r="J27" s="9">
        <v>1</v>
      </c>
      <c r="K27"/>
      <c r="L27" s="2"/>
      <c r="M27" s="2"/>
      <c r="N27" s="2"/>
      <c r="O27"/>
      <c r="P27"/>
      <c r="Q27" s="2">
        <v>1</v>
      </c>
      <c r="R27" s="2"/>
      <c r="S27" s="2">
        <v>10000</v>
      </c>
      <c r="T27" s="2"/>
      <c r="U27" s="2"/>
      <c r="V27"/>
      <c r="W27" s="2"/>
      <c r="X27"/>
      <c r="Y27"/>
    </row>
    <row r="28" spans="2:26" ht="14.1" customHeight="1" x14ac:dyDescent="0.3">
      <c r="B28" s="2">
        <f t="shared" si="0"/>
        <v>141002</v>
      </c>
      <c r="C28" s="6">
        <v>41002</v>
      </c>
      <c r="D28" s="19" t="s">
        <v>148</v>
      </c>
      <c r="E28" s="6" t="s">
        <v>55</v>
      </c>
      <c r="F28" s="6"/>
      <c r="G28" s="6" t="s">
        <v>105</v>
      </c>
      <c r="H28" s="6">
        <v>4</v>
      </c>
      <c r="I28" s="10" t="s">
        <v>57</v>
      </c>
      <c r="J28" s="9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2">
        <v>19009</v>
      </c>
      <c r="X28" s="9"/>
      <c r="Y28" s="9"/>
      <c r="Z28" s="2"/>
    </row>
    <row r="29" spans="2:26" x14ac:dyDescent="0.3">
      <c r="B29" s="2">
        <f t="shared" si="0"/>
        <v>141005</v>
      </c>
      <c r="C29" s="6">
        <v>41005</v>
      </c>
      <c r="D29" s="19" t="s">
        <v>148</v>
      </c>
      <c r="E29" s="6" t="s">
        <v>72</v>
      </c>
      <c r="F29" s="6"/>
      <c r="G29" s="6" t="s">
        <v>106</v>
      </c>
      <c r="H29" s="6">
        <v>4</v>
      </c>
      <c r="I29" s="9" t="s">
        <v>74</v>
      </c>
      <c r="J29" s="9" t="s">
        <v>107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 t="s">
        <v>108</v>
      </c>
      <c r="W29" s="9"/>
      <c r="X29" s="9"/>
      <c r="Y29" s="9"/>
      <c r="Z29" s="20"/>
    </row>
    <row r="30" spans="2:26" x14ac:dyDescent="0.3">
      <c r="B30" s="2">
        <f t="shared" si="0"/>
        <v>141006</v>
      </c>
      <c r="C30" s="6">
        <v>41006</v>
      </c>
      <c r="D30" s="19" t="s">
        <v>148</v>
      </c>
      <c r="E30" s="6" t="s">
        <v>76</v>
      </c>
      <c r="F30" s="6"/>
      <c r="G30" s="6" t="s">
        <v>109</v>
      </c>
      <c r="H30" s="6">
        <v>4</v>
      </c>
      <c r="I30" s="9" t="s">
        <v>78</v>
      </c>
      <c r="J30" s="9">
        <v>299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 t="s">
        <v>112</v>
      </c>
      <c r="W30" s="9" t="s">
        <v>80</v>
      </c>
      <c r="X30" s="9"/>
      <c r="Y30" s="9"/>
      <c r="Z30" s="20"/>
    </row>
    <row r="31" spans="2:26" x14ac:dyDescent="0.3">
      <c r="B31" s="2">
        <f t="shared" si="0"/>
        <v>151001</v>
      </c>
      <c r="C31" s="6">
        <v>51001</v>
      </c>
      <c r="D31" s="19" t="s">
        <v>148</v>
      </c>
      <c r="E31" s="13" t="s">
        <v>52</v>
      </c>
      <c r="F31" s="13"/>
      <c r="G31" s="13" t="s">
        <v>104</v>
      </c>
      <c r="H31" s="6">
        <v>5</v>
      </c>
      <c r="I31" s="9" t="s">
        <v>54</v>
      </c>
      <c r="J31" s="9">
        <v>1</v>
      </c>
      <c r="K31"/>
      <c r="L31" s="2"/>
      <c r="M31" s="2"/>
      <c r="N31" s="2"/>
      <c r="O31"/>
      <c r="P31"/>
      <c r="Q31" s="2"/>
      <c r="R31" s="2">
        <v>1</v>
      </c>
      <c r="S31" s="2">
        <v>2000</v>
      </c>
      <c r="T31" s="2"/>
      <c r="U31" s="2"/>
      <c r="V31"/>
      <c r="W31" s="2"/>
      <c r="X31"/>
      <c r="Y31"/>
    </row>
    <row r="32" spans="2:26" x14ac:dyDescent="0.3">
      <c r="B32" s="2">
        <f t="shared" si="0"/>
        <v>151002</v>
      </c>
      <c r="C32" s="6">
        <v>51002</v>
      </c>
      <c r="D32" s="19" t="s">
        <v>148</v>
      </c>
      <c r="E32" s="6" t="s">
        <v>55</v>
      </c>
      <c r="F32" s="6"/>
      <c r="G32" s="22" t="s">
        <v>111</v>
      </c>
      <c r="H32" s="6">
        <v>5</v>
      </c>
      <c r="I32" s="10" t="s">
        <v>57</v>
      </c>
      <c r="J32" s="9" t="s">
        <v>58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2">
        <v>19103</v>
      </c>
      <c r="X32" s="9"/>
      <c r="Y32" s="9"/>
      <c r="Z32" s="2"/>
    </row>
    <row r="33" spans="2:26" x14ac:dyDescent="0.3">
      <c r="B33" s="2">
        <f t="shared" si="0"/>
        <v>151004</v>
      </c>
      <c r="C33" s="6">
        <v>51004</v>
      </c>
      <c r="D33" s="19" t="s">
        <v>148</v>
      </c>
      <c r="E33" s="6" t="s">
        <v>66</v>
      </c>
      <c r="F33" s="6"/>
      <c r="G33" s="22" t="s">
        <v>116</v>
      </c>
      <c r="H33" s="6">
        <v>5</v>
      </c>
      <c r="I33" s="9" t="s">
        <v>68</v>
      </c>
      <c r="J33" s="9">
        <v>99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 t="s">
        <v>114</v>
      </c>
      <c r="W33" s="9"/>
      <c r="X33" s="9"/>
      <c r="Y33" s="9"/>
      <c r="Z33" s="20"/>
    </row>
    <row r="34" spans="2:26" x14ac:dyDescent="0.3">
      <c r="B34" s="2">
        <f t="shared" si="0"/>
        <v>151005</v>
      </c>
      <c r="C34" s="23" t="s">
        <v>119</v>
      </c>
      <c r="D34" s="19" t="s">
        <v>148</v>
      </c>
      <c r="E34" s="6" t="s">
        <v>72</v>
      </c>
      <c r="F34" s="6"/>
      <c r="G34" s="17" t="s">
        <v>120</v>
      </c>
      <c r="H34" s="6">
        <v>5</v>
      </c>
      <c r="I34" s="9" t="s">
        <v>74</v>
      </c>
      <c r="J34" s="9">
        <v>199</v>
      </c>
      <c r="K34" s="9"/>
      <c r="L34" s="9"/>
      <c r="M34" s="9"/>
      <c r="N34" s="9"/>
      <c r="O34" s="9"/>
      <c r="P34" s="9"/>
      <c r="Q34" s="9"/>
      <c r="R34" s="9"/>
      <c r="S34" s="9"/>
      <c r="T34" s="9" t="s">
        <v>121</v>
      </c>
      <c r="U34" s="9"/>
      <c r="V34" s="9"/>
      <c r="W34" s="9"/>
      <c r="X34" s="9"/>
      <c r="Y34" s="9"/>
      <c r="Z34" s="20"/>
    </row>
    <row r="35" spans="2:26" x14ac:dyDescent="0.3">
      <c r="B35" s="2">
        <f t="shared" si="0"/>
        <v>151006</v>
      </c>
      <c r="C35" s="6">
        <v>51006</v>
      </c>
      <c r="D35" s="19" t="s">
        <v>148</v>
      </c>
      <c r="E35" s="6" t="s">
        <v>76</v>
      </c>
      <c r="F35" s="6"/>
      <c r="G35" s="22" t="s">
        <v>110</v>
      </c>
      <c r="H35" s="6">
        <v>5</v>
      </c>
      <c r="I35" s="9" t="s">
        <v>78</v>
      </c>
      <c r="J35" s="9">
        <v>299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 t="s">
        <v>115</v>
      </c>
      <c r="W35" s="9"/>
      <c r="X35" s="9"/>
      <c r="Y35" s="9"/>
      <c r="Z35" s="20"/>
    </row>
    <row r="36" spans="2:26" x14ac:dyDescent="0.3">
      <c r="B36" s="2">
        <f t="shared" si="0"/>
        <v>161001</v>
      </c>
      <c r="C36" s="6">
        <v>61001</v>
      </c>
      <c r="D36" s="19" t="s">
        <v>148</v>
      </c>
      <c r="E36" s="13" t="s">
        <v>52</v>
      </c>
      <c r="F36" s="13"/>
      <c r="G36" s="13" t="s">
        <v>104</v>
      </c>
      <c r="H36" s="6">
        <v>6</v>
      </c>
      <c r="I36" s="9" t="s">
        <v>54</v>
      </c>
      <c r="J36" s="9">
        <v>1</v>
      </c>
      <c r="K36"/>
      <c r="L36" s="2"/>
      <c r="M36" s="2"/>
      <c r="N36" s="2"/>
      <c r="O36"/>
      <c r="P36"/>
      <c r="Q36" s="2"/>
      <c r="R36" s="2">
        <v>1</v>
      </c>
      <c r="S36" s="2">
        <v>2000</v>
      </c>
      <c r="T36" s="2"/>
      <c r="U36" s="2"/>
      <c r="V36"/>
      <c r="W36" s="2"/>
      <c r="X36"/>
      <c r="Y36"/>
    </row>
    <row r="37" spans="2:26" x14ac:dyDescent="0.3">
      <c r="B37" s="2">
        <f t="shared" si="0"/>
        <v>161002</v>
      </c>
      <c r="C37" s="6">
        <v>61002</v>
      </c>
      <c r="D37" s="19" t="s">
        <v>148</v>
      </c>
      <c r="E37" s="6" t="s">
        <v>55</v>
      </c>
      <c r="F37" s="6"/>
      <c r="G37" s="22" t="s">
        <v>111</v>
      </c>
      <c r="H37" s="6">
        <v>6</v>
      </c>
      <c r="I37" s="10" t="s">
        <v>57</v>
      </c>
      <c r="J37" s="9" t="s">
        <v>58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2">
        <v>19103</v>
      </c>
      <c r="X37" s="9"/>
      <c r="Y37" s="9"/>
      <c r="Z37" s="2"/>
    </row>
    <row r="38" spans="2:26" x14ac:dyDescent="0.3">
      <c r="B38" s="2">
        <f t="shared" si="0"/>
        <v>161004</v>
      </c>
      <c r="C38" s="6">
        <v>61004</v>
      </c>
      <c r="D38" s="19" t="s">
        <v>148</v>
      </c>
      <c r="E38" s="6" t="s">
        <v>66</v>
      </c>
      <c r="F38" s="6"/>
      <c r="G38" s="22" t="s">
        <v>116</v>
      </c>
      <c r="H38" s="6">
        <v>6</v>
      </c>
      <c r="I38" s="9" t="s">
        <v>68</v>
      </c>
      <c r="J38" s="9">
        <v>99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 t="s">
        <v>114</v>
      </c>
      <c r="W38" s="9"/>
      <c r="X38" s="9"/>
      <c r="Y38" s="9"/>
      <c r="Z38" s="20"/>
    </row>
    <row r="39" spans="2:26" x14ac:dyDescent="0.3">
      <c r="B39" s="2">
        <f t="shared" si="0"/>
        <v>161006</v>
      </c>
      <c r="C39" s="6">
        <v>61006</v>
      </c>
      <c r="D39" s="19" t="s">
        <v>148</v>
      </c>
      <c r="E39" s="6" t="s">
        <v>76</v>
      </c>
      <c r="F39" s="6"/>
      <c r="G39" s="22" t="s">
        <v>110</v>
      </c>
      <c r="H39" s="6">
        <v>6</v>
      </c>
      <c r="I39" s="9" t="s">
        <v>78</v>
      </c>
      <c r="J39" s="9">
        <v>299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 t="s">
        <v>115</v>
      </c>
      <c r="W39" s="9"/>
      <c r="X39" s="9"/>
      <c r="Y39" s="9"/>
      <c r="Z39" s="20"/>
    </row>
    <row r="40" spans="2:26" x14ac:dyDescent="0.3">
      <c r="B40" s="2">
        <f t="shared" si="0"/>
        <v>171001</v>
      </c>
      <c r="C40" s="6">
        <v>71001</v>
      </c>
      <c r="D40" s="19" t="s">
        <v>148</v>
      </c>
      <c r="E40" s="6" t="s">
        <v>52</v>
      </c>
      <c r="F40" s="6"/>
      <c r="G40" s="25" t="s">
        <v>129</v>
      </c>
      <c r="H40" s="6">
        <v>7</v>
      </c>
      <c r="I40" s="9" t="s">
        <v>54</v>
      </c>
      <c r="J40" s="9">
        <v>1</v>
      </c>
      <c r="K40"/>
      <c r="L40" s="2"/>
      <c r="M40" s="2"/>
      <c r="N40" s="2"/>
      <c r="O40"/>
      <c r="P40"/>
      <c r="Q40" s="2"/>
      <c r="R40" s="2"/>
      <c r="S40" s="2"/>
      <c r="T40" s="2"/>
      <c r="U40" s="2"/>
      <c r="V40"/>
      <c r="W40" s="2">
        <v>19006</v>
      </c>
      <c r="X40"/>
      <c r="Y40"/>
    </row>
    <row r="41" spans="2:26" x14ac:dyDescent="0.3">
      <c r="B41" s="2">
        <f t="shared" si="0"/>
        <v>171002</v>
      </c>
      <c r="C41" s="6">
        <v>71002</v>
      </c>
      <c r="D41" s="19" t="s">
        <v>148</v>
      </c>
      <c r="E41" s="6" t="s">
        <v>55</v>
      </c>
      <c r="F41" s="6"/>
      <c r="G41" s="26" t="s">
        <v>130</v>
      </c>
      <c r="H41" s="6">
        <v>7</v>
      </c>
      <c r="I41" s="10" t="s">
        <v>57</v>
      </c>
      <c r="J41" s="9" t="s">
        <v>58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2"/>
      <c r="X41" s="9"/>
      <c r="Y41" s="9"/>
      <c r="Z41" s="2"/>
    </row>
    <row r="42" spans="2:26" x14ac:dyDescent="0.3">
      <c r="B42" s="2">
        <f t="shared" si="0"/>
        <v>171003</v>
      </c>
      <c r="C42" s="23" t="s">
        <v>128</v>
      </c>
      <c r="D42" s="19" t="s">
        <v>148</v>
      </c>
      <c r="E42" s="6" t="s">
        <v>61</v>
      </c>
      <c r="F42" s="6"/>
      <c r="G42" s="25" t="s">
        <v>131</v>
      </c>
      <c r="H42" s="6">
        <v>7</v>
      </c>
      <c r="I42" s="9" t="s">
        <v>63</v>
      </c>
      <c r="J42" s="9">
        <v>52</v>
      </c>
      <c r="W42" s="4"/>
    </row>
    <row r="43" spans="2:26" x14ac:dyDescent="0.3">
      <c r="B43" s="2">
        <f t="shared" si="0"/>
        <v>171004</v>
      </c>
      <c r="C43" s="6">
        <v>71004</v>
      </c>
      <c r="D43" s="19" t="s">
        <v>148</v>
      </c>
      <c r="E43" s="6" t="s">
        <v>66</v>
      </c>
      <c r="F43" s="6"/>
      <c r="G43" s="25" t="s">
        <v>132</v>
      </c>
      <c r="H43" s="6">
        <v>7</v>
      </c>
      <c r="I43" s="9" t="s">
        <v>68</v>
      </c>
      <c r="J43" s="9">
        <v>99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 t="s">
        <v>114</v>
      </c>
      <c r="W43" s="9"/>
      <c r="X43" s="9"/>
      <c r="Y43" s="9"/>
      <c r="Z43" s="20"/>
    </row>
    <row r="44" spans="2:26" x14ac:dyDescent="0.3">
      <c r="B44" s="2">
        <f t="shared" si="0"/>
        <v>171005</v>
      </c>
      <c r="C44" s="23" t="s">
        <v>127</v>
      </c>
      <c r="D44" s="19" t="s">
        <v>148</v>
      </c>
      <c r="E44" s="6" t="s">
        <v>72</v>
      </c>
      <c r="F44" s="6"/>
      <c r="G44" s="25" t="s">
        <v>133</v>
      </c>
      <c r="H44" s="6">
        <v>7</v>
      </c>
      <c r="I44" s="9" t="s">
        <v>74</v>
      </c>
      <c r="J44" s="9">
        <v>199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20"/>
    </row>
    <row r="45" spans="2:26" x14ac:dyDescent="0.3">
      <c r="B45" s="2">
        <f t="shared" si="0"/>
        <v>171006</v>
      </c>
      <c r="C45" s="6">
        <v>71006</v>
      </c>
      <c r="D45" s="19" t="s">
        <v>148</v>
      </c>
      <c r="E45" s="6" t="s">
        <v>76</v>
      </c>
      <c r="F45" s="6"/>
      <c r="G45" s="25" t="s">
        <v>134</v>
      </c>
      <c r="H45" s="6">
        <v>7</v>
      </c>
      <c r="I45" s="9" t="s">
        <v>78</v>
      </c>
      <c r="J45" s="9">
        <v>299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 t="s">
        <v>115</v>
      </c>
      <c r="W45" s="9"/>
      <c r="X45" s="9"/>
      <c r="Y45" s="9"/>
      <c r="Z45" s="20"/>
    </row>
    <row r="46" spans="2:26" x14ac:dyDescent="0.3">
      <c r="B46" s="19">
        <f>C46+200000</f>
        <v>211001</v>
      </c>
      <c r="C46" s="8" t="s">
        <v>51</v>
      </c>
      <c r="D46" s="19" t="s">
        <v>146</v>
      </c>
      <c r="E46" s="6" t="s">
        <v>149</v>
      </c>
      <c r="F46" s="6"/>
      <c r="G46" s="6" t="s">
        <v>53</v>
      </c>
      <c r="H46" s="6">
        <v>1</v>
      </c>
      <c r="I46" s="20" t="s">
        <v>138</v>
      </c>
      <c r="J46" s="9">
        <v>1</v>
      </c>
      <c r="K46"/>
      <c r="L46" s="2">
        <v>1</v>
      </c>
      <c r="M46" s="24" t="s">
        <v>126</v>
      </c>
      <c r="N46" s="2">
        <v>1</v>
      </c>
      <c r="O46"/>
      <c r="P46"/>
      <c r="Q46"/>
      <c r="R46"/>
      <c r="S46"/>
      <c r="T46"/>
      <c r="U46"/>
      <c r="V46"/>
      <c r="W46" s="2">
        <v>19006</v>
      </c>
      <c r="X46"/>
      <c r="Y46"/>
    </row>
    <row r="47" spans="2:26" x14ac:dyDescent="0.3">
      <c r="B47" s="19">
        <f t="shared" ref="B47:B85" si="1">C47+200000</f>
        <v>211002</v>
      </c>
      <c r="C47" s="8">
        <v>11002</v>
      </c>
      <c r="D47" s="19" t="s">
        <v>146</v>
      </c>
      <c r="E47" s="6" t="s">
        <v>150</v>
      </c>
      <c r="F47" s="6"/>
      <c r="G47" s="22" t="s">
        <v>200</v>
      </c>
      <c r="H47" s="6">
        <v>1</v>
      </c>
      <c r="I47" s="27" t="s">
        <v>158</v>
      </c>
      <c r="J47" s="9" t="s">
        <v>58</v>
      </c>
      <c r="K47" s="9" t="s">
        <v>201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2"/>
    </row>
    <row r="48" spans="2:26" x14ac:dyDescent="0.3">
      <c r="B48" s="19">
        <f t="shared" si="1"/>
        <v>211003</v>
      </c>
      <c r="C48" s="8">
        <v>11003</v>
      </c>
      <c r="D48" s="19" t="s">
        <v>146</v>
      </c>
      <c r="E48" s="6" t="s">
        <v>151</v>
      </c>
      <c r="F48" s="6"/>
      <c r="G48" s="6" t="s">
        <v>62</v>
      </c>
      <c r="H48" s="6">
        <v>1</v>
      </c>
      <c r="I48" s="20" t="s">
        <v>140</v>
      </c>
      <c r="J48" s="9">
        <v>52</v>
      </c>
      <c r="K48" s="9" t="s">
        <v>64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 t="s">
        <v>58</v>
      </c>
      <c r="Y48" s="9" t="s">
        <v>65</v>
      </c>
    </row>
    <row r="49" spans="2:27" x14ac:dyDescent="0.3">
      <c r="B49" s="19">
        <f t="shared" si="1"/>
        <v>211004</v>
      </c>
      <c r="C49" s="8">
        <v>11004</v>
      </c>
      <c r="D49" s="19" t="s">
        <v>146</v>
      </c>
      <c r="E49" s="6" t="s">
        <v>152</v>
      </c>
      <c r="F49" s="6"/>
      <c r="G49" s="6" t="s">
        <v>67</v>
      </c>
      <c r="H49" s="6">
        <v>1</v>
      </c>
      <c r="I49" s="20" t="s">
        <v>141</v>
      </c>
      <c r="J49" s="9">
        <v>99</v>
      </c>
      <c r="K49" s="9" t="s">
        <v>203</v>
      </c>
      <c r="L49" s="9"/>
      <c r="M49" s="9"/>
      <c r="N49" s="9"/>
      <c r="O49" s="9"/>
      <c r="P49" s="9" t="s">
        <v>70</v>
      </c>
      <c r="Q49" s="9"/>
      <c r="R49" s="9"/>
      <c r="S49" s="9"/>
      <c r="T49" s="9"/>
      <c r="U49" s="9"/>
      <c r="V49" s="9"/>
      <c r="W49" s="9"/>
      <c r="X49" s="9"/>
      <c r="Y49" s="9"/>
      <c r="Z49" s="20"/>
    </row>
    <row r="50" spans="2:27" x14ac:dyDescent="0.3">
      <c r="B50" s="19">
        <f t="shared" si="1"/>
        <v>211005</v>
      </c>
      <c r="C50" s="8">
        <v>11005</v>
      </c>
      <c r="D50" s="19" t="s">
        <v>146</v>
      </c>
      <c r="E50" s="6" t="s">
        <v>153</v>
      </c>
      <c r="F50" s="11"/>
      <c r="G50" s="11" t="s">
        <v>73</v>
      </c>
      <c r="H50" s="6">
        <v>1</v>
      </c>
      <c r="I50" s="20" t="s">
        <v>142</v>
      </c>
      <c r="J50" s="9">
        <v>199</v>
      </c>
      <c r="K50" s="9"/>
      <c r="L50" s="9"/>
      <c r="M50" s="9"/>
      <c r="N50" s="9"/>
      <c r="O50" s="9" t="s">
        <v>75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20">
        <v>1</v>
      </c>
      <c r="AA50">
        <v>1</v>
      </c>
    </row>
    <row r="51" spans="2:27" x14ac:dyDescent="0.3">
      <c r="B51" s="19">
        <f t="shared" si="1"/>
        <v>211006</v>
      </c>
      <c r="C51" s="8">
        <v>11006</v>
      </c>
      <c r="D51" s="19" t="s">
        <v>146</v>
      </c>
      <c r="E51" s="6" t="s">
        <v>154</v>
      </c>
      <c r="F51" s="6"/>
      <c r="G51" s="6" t="s">
        <v>77</v>
      </c>
      <c r="H51" s="6">
        <v>1</v>
      </c>
      <c r="I51" s="20" t="s">
        <v>143</v>
      </c>
      <c r="J51" s="9">
        <v>299</v>
      </c>
      <c r="K51" s="9"/>
      <c r="L51" s="9" t="s">
        <v>75</v>
      </c>
      <c r="M51" s="9"/>
      <c r="N51" s="9"/>
      <c r="O51" s="9"/>
      <c r="P51" s="9"/>
      <c r="Q51" s="9"/>
      <c r="R51" s="9"/>
      <c r="S51" s="9"/>
      <c r="T51" s="9"/>
      <c r="U51" s="9"/>
      <c r="V51" s="9" t="s">
        <v>79</v>
      </c>
      <c r="W51" s="9" t="s">
        <v>80</v>
      </c>
      <c r="X51" s="9"/>
      <c r="Y51" s="9"/>
      <c r="Z51" s="20"/>
    </row>
    <row r="52" spans="2:27" x14ac:dyDescent="0.3">
      <c r="B52" s="19">
        <f t="shared" si="1"/>
        <v>211007</v>
      </c>
      <c r="C52" s="8" t="s">
        <v>81</v>
      </c>
      <c r="D52" s="19" t="s">
        <v>146</v>
      </c>
      <c r="E52" s="6" t="s">
        <v>155</v>
      </c>
      <c r="F52" s="6"/>
      <c r="G52" s="6" t="s">
        <v>43</v>
      </c>
      <c r="H52" s="6">
        <v>1</v>
      </c>
      <c r="I52" s="20" t="s">
        <v>162</v>
      </c>
      <c r="J52" s="9" t="s">
        <v>144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 t="s">
        <v>75</v>
      </c>
      <c r="V52" s="9"/>
      <c r="W52" s="9"/>
      <c r="X52" s="9"/>
      <c r="Y52" s="9"/>
      <c r="Z52" s="20"/>
    </row>
    <row r="53" spans="2:27" x14ac:dyDescent="0.3">
      <c r="B53" s="19">
        <f t="shared" si="1"/>
        <v>211008</v>
      </c>
      <c r="C53" s="23" t="s">
        <v>85</v>
      </c>
      <c r="D53" s="19" t="s">
        <v>146</v>
      </c>
      <c r="E53" s="22" t="s">
        <v>156</v>
      </c>
      <c r="F53" s="6"/>
      <c r="G53" s="22" t="s">
        <v>87</v>
      </c>
      <c r="H53" s="6">
        <v>1</v>
      </c>
      <c r="I53" s="20" t="s">
        <v>145</v>
      </c>
      <c r="J53" s="9" t="s">
        <v>89</v>
      </c>
      <c r="K53" s="9" t="s">
        <v>90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20"/>
    </row>
    <row r="54" spans="2:27" x14ac:dyDescent="0.3">
      <c r="B54" s="19">
        <f t="shared" si="1"/>
        <v>221001</v>
      </c>
      <c r="C54" s="8">
        <v>21001</v>
      </c>
      <c r="D54" s="19" t="s">
        <v>146</v>
      </c>
      <c r="E54" s="6" t="s">
        <v>149</v>
      </c>
      <c r="F54" s="6"/>
      <c r="G54" s="6" t="s">
        <v>53</v>
      </c>
      <c r="H54" s="6">
        <v>2</v>
      </c>
      <c r="I54" s="20" t="s">
        <v>138</v>
      </c>
      <c r="J54" s="9">
        <v>1</v>
      </c>
      <c r="K54"/>
      <c r="L54" s="2"/>
      <c r="M54" s="2"/>
      <c r="N54"/>
      <c r="O54"/>
      <c r="P54"/>
      <c r="Q54"/>
      <c r="R54"/>
      <c r="S54"/>
      <c r="T54"/>
      <c r="U54"/>
      <c r="V54" s="9"/>
      <c r="W54" s="2">
        <v>19006</v>
      </c>
      <c r="X54"/>
      <c r="Y54"/>
    </row>
    <row r="55" spans="2:27" x14ac:dyDescent="0.3">
      <c r="B55" s="19">
        <f t="shared" si="1"/>
        <v>221002</v>
      </c>
      <c r="C55" s="8">
        <v>21002</v>
      </c>
      <c r="D55" s="19" t="s">
        <v>146</v>
      </c>
      <c r="E55" s="6" t="s">
        <v>150</v>
      </c>
      <c r="F55" s="6"/>
      <c r="G55" s="22" t="s">
        <v>200</v>
      </c>
      <c r="H55" s="6">
        <v>2</v>
      </c>
      <c r="I55" s="27" t="s">
        <v>139</v>
      </c>
      <c r="J55" s="9" t="s">
        <v>58</v>
      </c>
      <c r="K55" s="9" t="s">
        <v>201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2"/>
    </row>
    <row r="56" spans="2:27" x14ac:dyDescent="0.3">
      <c r="B56" s="19">
        <f t="shared" si="1"/>
        <v>221003</v>
      </c>
      <c r="C56" s="8">
        <v>21003</v>
      </c>
      <c r="D56" s="19" t="s">
        <v>146</v>
      </c>
      <c r="E56" s="6" t="s">
        <v>151</v>
      </c>
      <c r="F56" s="6"/>
      <c r="G56" s="6" t="s">
        <v>62</v>
      </c>
      <c r="H56" s="6">
        <v>2</v>
      </c>
      <c r="I56" s="20" t="s">
        <v>140</v>
      </c>
      <c r="J56" s="9">
        <v>52</v>
      </c>
      <c r="K56" s="9" t="s">
        <v>64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 t="s">
        <v>58</v>
      </c>
      <c r="Y56" s="9" t="s">
        <v>65</v>
      </c>
    </row>
    <row r="57" spans="2:27" x14ac:dyDescent="0.3">
      <c r="B57" s="19">
        <f t="shared" si="1"/>
        <v>221004</v>
      </c>
      <c r="C57" s="8">
        <v>21004</v>
      </c>
      <c r="D57" s="19" t="s">
        <v>146</v>
      </c>
      <c r="E57" s="6" t="s">
        <v>152</v>
      </c>
      <c r="F57" s="6"/>
      <c r="G57" s="6" t="s">
        <v>67</v>
      </c>
      <c r="H57" s="6">
        <v>2</v>
      </c>
      <c r="I57" s="20" t="s">
        <v>141</v>
      </c>
      <c r="J57" s="9">
        <v>99</v>
      </c>
      <c r="K57" s="9" t="s">
        <v>203</v>
      </c>
      <c r="L57" s="9"/>
      <c r="M57" s="9"/>
      <c r="N57" s="9"/>
      <c r="O57" s="9"/>
      <c r="P57" s="9" t="s">
        <v>70</v>
      </c>
      <c r="Q57" s="9"/>
      <c r="R57" s="9"/>
      <c r="S57" s="9"/>
      <c r="T57" s="9"/>
      <c r="U57" s="9"/>
      <c r="V57" s="9"/>
      <c r="W57" s="9"/>
      <c r="X57" s="9"/>
      <c r="Y57" s="9"/>
      <c r="Z57" s="20"/>
    </row>
    <row r="58" spans="2:27" x14ac:dyDescent="0.3">
      <c r="B58" s="19">
        <f t="shared" si="1"/>
        <v>221005</v>
      </c>
      <c r="C58" s="8">
        <v>21005</v>
      </c>
      <c r="D58" s="19" t="s">
        <v>146</v>
      </c>
      <c r="E58" s="6" t="s">
        <v>153</v>
      </c>
      <c r="F58" s="6"/>
      <c r="G58" s="17" t="s">
        <v>91</v>
      </c>
      <c r="H58" s="6">
        <v>2</v>
      </c>
      <c r="I58" s="20" t="s">
        <v>142</v>
      </c>
      <c r="J58" s="9">
        <v>199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 t="s">
        <v>92</v>
      </c>
      <c r="W58" s="9"/>
      <c r="X58" s="9"/>
      <c r="Y58" s="9"/>
      <c r="Z58" s="20"/>
    </row>
    <row r="59" spans="2:27" ht="27" x14ac:dyDescent="0.3">
      <c r="B59" s="19">
        <f t="shared" si="1"/>
        <v>221006</v>
      </c>
      <c r="C59" s="8">
        <v>21006</v>
      </c>
      <c r="D59" s="19" t="s">
        <v>146</v>
      </c>
      <c r="E59" s="6" t="s">
        <v>154</v>
      </c>
      <c r="F59" s="6"/>
      <c r="G59" s="17" t="s">
        <v>77</v>
      </c>
      <c r="H59" s="6">
        <v>2</v>
      </c>
      <c r="I59" s="20" t="s">
        <v>143</v>
      </c>
      <c r="J59" s="9">
        <v>299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 t="s">
        <v>113</v>
      </c>
      <c r="W59" s="9"/>
      <c r="X59" s="9"/>
      <c r="Y59" s="9"/>
      <c r="Z59" s="20"/>
    </row>
    <row r="60" spans="2:27" x14ac:dyDescent="0.3">
      <c r="B60" s="19">
        <f t="shared" si="1"/>
        <v>221007</v>
      </c>
      <c r="C60" s="23" t="s">
        <v>93</v>
      </c>
      <c r="D60" s="19" t="s">
        <v>146</v>
      </c>
      <c r="E60" s="22" t="s">
        <v>156</v>
      </c>
      <c r="F60" s="6"/>
      <c r="G60" s="22" t="s">
        <v>87</v>
      </c>
      <c r="H60" s="6">
        <v>2</v>
      </c>
      <c r="I60" s="20" t="s">
        <v>145</v>
      </c>
      <c r="J60" s="9" t="s">
        <v>89</v>
      </c>
      <c r="K60" s="9" t="s">
        <v>90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20"/>
    </row>
    <row r="61" spans="2:27" x14ac:dyDescent="0.3">
      <c r="B61" s="19">
        <f t="shared" si="1"/>
        <v>231001</v>
      </c>
      <c r="C61" s="8">
        <v>31001</v>
      </c>
      <c r="D61" s="19" t="s">
        <v>146</v>
      </c>
      <c r="E61" s="6" t="s">
        <v>149</v>
      </c>
      <c r="F61" s="6"/>
      <c r="G61" s="6" t="s">
        <v>94</v>
      </c>
      <c r="H61" s="6">
        <v>3</v>
      </c>
      <c r="I61" s="20" t="s">
        <v>138</v>
      </c>
      <c r="J61" s="9">
        <v>1</v>
      </c>
      <c r="V61" s="9" t="s">
        <v>95</v>
      </c>
      <c r="W61" s="4"/>
    </row>
    <row r="62" spans="2:27" x14ac:dyDescent="0.3">
      <c r="B62" s="19">
        <f t="shared" si="1"/>
        <v>231002</v>
      </c>
      <c r="C62" s="8">
        <v>31002</v>
      </c>
      <c r="D62" s="19" t="s">
        <v>146</v>
      </c>
      <c r="E62" s="6" t="s">
        <v>150</v>
      </c>
      <c r="F62" s="6"/>
      <c r="G62" s="6" t="s">
        <v>96</v>
      </c>
      <c r="H62" s="6">
        <v>3</v>
      </c>
      <c r="I62" s="27" t="s">
        <v>139</v>
      </c>
      <c r="J62" s="9" t="s">
        <v>58</v>
      </c>
      <c r="V62" s="9" t="s">
        <v>97</v>
      </c>
      <c r="W62" s="4"/>
    </row>
    <row r="63" spans="2:27" x14ac:dyDescent="0.3">
      <c r="B63" s="19">
        <f t="shared" si="1"/>
        <v>231003</v>
      </c>
      <c r="C63" s="8">
        <v>31003</v>
      </c>
      <c r="D63" s="19" t="s">
        <v>146</v>
      </c>
      <c r="E63" s="6" t="s">
        <v>151</v>
      </c>
      <c r="F63" s="6"/>
      <c r="G63" s="6" t="s">
        <v>98</v>
      </c>
      <c r="H63" s="6">
        <v>3</v>
      </c>
      <c r="I63" s="20" t="s">
        <v>163</v>
      </c>
      <c r="J63" s="9">
        <v>52</v>
      </c>
      <c r="W63" s="4"/>
    </row>
    <row r="64" spans="2:27" x14ac:dyDescent="0.3">
      <c r="B64" s="19">
        <f t="shared" si="1"/>
        <v>231004</v>
      </c>
      <c r="C64" s="8">
        <v>31004</v>
      </c>
      <c r="D64" s="19" t="s">
        <v>146</v>
      </c>
      <c r="E64" s="6" t="s">
        <v>152</v>
      </c>
      <c r="F64" s="6"/>
      <c r="G64" s="6" t="s">
        <v>99</v>
      </c>
      <c r="H64" s="6">
        <v>3</v>
      </c>
      <c r="I64" s="20" t="s">
        <v>141</v>
      </c>
      <c r="J64" s="9">
        <v>99</v>
      </c>
      <c r="O64"/>
      <c r="P64"/>
      <c r="Q64"/>
      <c r="R64"/>
      <c r="S64"/>
      <c r="T64"/>
      <c r="U64"/>
      <c r="V64" s="9" t="s">
        <v>100</v>
      </c>
      <c r="W64" s="4"/>
    </row>
    <row r="65" spans="2:26" x14ac:dyDescent="0.3">
      <c r="B65" s="19">
        <f t="shared" si="1"/>
        <v>231005</v>
      </c>
      <c r="C65" s="8">
        <v>31005</v>
      </c>
      <c r="D65" s="19" t="s">
        <v>146</v>
      </c>
      <c r="E65" s="6" t="s">
        <v>153</v>
      </c>
      <c r="F65" s="6"/>
      <c r="G65" s="11" t="s">
        <v>101</v>
      </c>
      <c r="H65" s="6">
        <v>3</v>
      </c>
      <c r="I65" s="20" t="s">
        <v>159</v>
      </c>
      <c r="J65" s="9">
        <v>199</v>
      </c>
      <c r="W65" s="4"/>
    </row>
    <row r="66" spans="2:26" x14ac:dyDescent="0.3">
      <c r="B66" s="19">
        <f t="shared" si="1"/>
        <v>231006</v>
      </c>
      <c r="C66" s="8">
        <v>31006</v>
      </c>
      <c r="D66" s="19" t="s">
        <v>146</v>
      </c>
      <c r="E66" s="6" t="s">
        <v>154</v>
      </c>
      <c r="F66" s="6"/>
      <c r="G66" s="17" t="s">
        <v>102</v>
      </c>
      <c r="H66" s="6">
        <v>3</v>
      </c>
      <c r="I66" s="20" t="s">
        <v>143</v>
      </c>
      <c r="J66" s="9">
        <v>299</v>
      </c>
      <c r="V66" s="9" t="s">
        <v>103</v>
      </c>
      <c r="W66" s="4"/>
    </row>
    <row r="67" spans="2:26" x14ac:dyDescent="0.3">
      <c r="B67" s="19">
        <f t="shared" si="1"/>
        <v>241001</v>
      </c>
      <c r="C67" s="6">
        <v>41001</v>
      </c>
      <c r="D67" s="19" t="s">
        <v>146</v>
      </c>
      <c r="E67" s="6" t="s">
        <v>149</v>
      </c>
      <c r="F67" s="6"/>
      <c r="G67" s="6" t="s">
        <v>104</v>
      </c>
      <c r="H67" s="6">
        <v>4</v>
      </c>
      <c r="I67" s="20" t="s">
        <v>157</v>
      </c>
      <c r="J67" s="9">
        <v>1</v>
      </c>
      <c r="K67"/>
      <c r="L67" s="2"/>
      <c r="M67" s="2"/>
      <c r="N67" s="2"/>
      <c r="O67"/>
      <c r="P67"/>
      <c r="Q67" s="2">
        <v>1</v>
      </c>
      <c r="R67" s="2"/>
      <c r="S67" s="2">
        <v>10000</v>
      </c>
      <c r="T67" s="2"/>
      <c r="U67" s="2"/>
      <c r="V67"/>
      <c r="W67" s="2"/>
      <c r="X67"/>
      <c r="Y67"/>
    </row>
    <row r="68" spans="2:26" ht="14.1" customHeight="1" x14ac:dyDescent="0.3">
      <c r="B68" s="19">
        <f t="shared" si="1"/>
        <v>241002</v>
      </c>
      <c r="C68" s="6">
        <v>41002</v>
      </c>
      <c r="D68" s="19" t="s">
        <v>146</v>
      </c>
      <c r="E68" s="6" t="s">
        <v>150</v>
      </c>
      <c r="F68" s="6"/>
      <c r="G68" s="6" t="s">
        <v>105</v>
      </c>
      <c r="H68" s="6">
        <v>4</v>
      </c>
      <c r="I68" s="27" t="s">
        <v>158</v>
      </c>
      <c r="J68" s="9" t="s">
        <v>58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2">
        <v>19009</v>
      </c>
      <c r="X68" s="9"/>
      <c r="Y68" s="9"/>
      <c r="Z68" s="2"/>
    </row>
    <row r="69" spans="2:26" x14ac:dyDescent="0.3">
      <c r="B69" s="19">
        <f t="shared" si="1"/>
        <v>241005</v>
      </c>
      <c r="C69" s="6">
        <v>41005</v>
      </c>
      <c r="D69" s="19" t="s">
        <v>146</v>
      </c>
      <c r="E69" s="6" t="s">
        <v>153</v>
      </c>
      <c r="F69" s="6"/>
      <c r="G69" s="6" t="s">
        <v>106</v>
      </c>
      <c r="H69" s="6">
        <v>4</v>
      </c>
      <c r="I69" s="20" t="s">
        <v>159</v>
      </c>
      <c r="J69" s="9" t="s">
        <v>107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 t="s">
        <v>108</v>
      </c>
      <c r="W69" s="9"/>
      <c r="X69" s="9"/>
      <c r="Y69" s="9"/>
      <c r="Z69" s="20"/>
    </row>
    <row r="70" spans="2:26" x14ac:dyDescent="0.3">
      <c r="B70" s="19">
        <f t="shared" si="1"/>
        <v>241006</v>
      </c>
      <c r="C70" s="6">
        <v>41006</v>
      </c>
      <c r="D70" s="19" t="s">
        <v>146</v>
      </c>
      <c r="E70" s="6" t="s">
        <v>154</v>
      </c>
      <c r="F70" s="6"/>
      <c r="G70" s="6" t="s">
        <v>109</v>
      </c>
      <c r="H70" s="6">
        <v>4</v>
      </c>
      <c r="I70" s="20" t="s">
        <v>160</v>
      </c>
      <c r="J70" s="9">
        <v>299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 t="s">
        <v>112</v>
      </c>
      <c r="W70" s="9" t="s">
        <v>80</v>
      </c>
      <c r="X70" s="9"/>
      <c r="Y70" s="9"/>
      <c r="Z70" s="20"/>
    </row>
    <row r="71" spans="2:26" x14ac:dyDescent="0.3">
      <c r="B71" s="19">
        <f t="shared" si="1"/>
        <v>251001</v>
      </c>
      <c r="C71" s="6">
        <v>51001</v>
      </c>
      <c r="D71" s="19" t="s">
        <v>146</v>
      </c>
      <c r="E71" s="6" t="s">
        <v>149</v>
      </c>
      <c r="F71" s="6"/>
      <c r="G71" s="6" t="s">
        <v>104</v>
      </c>
      <c r="H71" s="6">
        <v>5</v>
      </c>
      <c r="I71" s="20" t="s">
        <v>138</v>
      </c>
      <c r="J71" s="9">
        <v>1</v>
      </c>
      <c r="K71"/>
      <c r="L71" s="2"/>
      <c r="M71" s="2"/>
      <c r="N71" s="2"/>
      <c r="O71"/>
      <c r="P71"/>
      <c r="Q71" s="2"/>
      <c r="R71" s="2">
        <v>1</v>
      </c>
      <c r="S71" s="2">
        <v>2000</v>
      </c>
      <c r="T71" s="2"/>
      <c r="U71" s="2"/>
      <c r="V71"/>
      <c r="W71" s="2"/>
      <c r="X71"/>
      <c r="Y71"/>
    </row>
    <row r="72" spans="2:26" x14ac:dyDescent="0.3">
      <c r="B72" s="19">
        <f t="shared" si="1"/>
        <v>251002</v>
      </c>
      <c r="C72" s="6">
        <v>51002</v>
      </c>
      <c r="D72" s="19" t="s">
        <v>146</v>
      </c>
      <c r="E72" s="6" t="s">
        <v>150</v>
      </c>
      <c r="F72" s="6"/>
      <c r="G72" s="22" t="s">
        <v>111</v>
      </c>
      <c r="H72" s="6">
        <v>5</v>
      </c>
      <c r="I72" s="27" t="s">
        <v>139</v>
      </c>
      <c r="J72" s="9" t="s">
        <v>58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2">
        <v>19103</v>
      </c>
      <c r="X72" s="9"/>
      <c r="Y72" s="9"/>
      <c r="Z72" s="2"/>
    </row>
    <row r="73" spans="2:26" x14ac:dyDescent="0.3">
      <c r="B73" s="19">
        <f t="shared" si="1"/>
        <v>251004</v>
      </c>
      <c r="C73" s="6">
        <v>51004</v>
      </c>
      <c r="D73" s="19" t="s">
        <v>146</v>
      </c>
      <c r="E73" s="6" t="s">
        <v>152</v>
      </c>
      <c r="F73" s="6"/>
      <c r="G73" s="22" t="s">
        <v>116</v>
      </c>
      <c r="H73" s="6">
        <v>5</v>
      </c>
      <c r="I73" s="20" t="s">
        <v>141</v>
      </c>
      <c r="J73" s="9">
        <v>99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 t="s">
        <v>114</v>
      </c>
      <c r="W73" s="9"/>
      <c r="X73" s="9"/>
      <c r="Y73" s="9"/>
      <c r="Z73" s="20"/>
    </row>
    <row r="74" spans="2:26" x14ac:dyDescent="0.3">
      <c r="B74" s="19">
        <f t="shared" si="1"/>
        <v>251005</v>
      </c>
      <c r="C74" s="23" t="s">
        <v>119</v>
      </c>
      <c r="D74" s="19" t="s">
        <v>146</v>
      </c>
      <c r="E74" s="6" t="s">
        <v>153</v>
      </c>
      <c r="F74" s="6"/>
      <c r="G74" s="17" t="s">
        <v>120</v>
      </c>
      <c r="H74" s="6">
        <v>5</v>
      </c>
      <c r="I74" s="20" t="s">
        <v>142</v>
      </c>
      <c r="J74" s="9">
        <v>199</v>
      </c>
      <c r="K74" s="9"/>
      <c r="L74" s="9"/>
      <c r="M74" s="9"/>
      <c r="N74" s="9"/>
      <c r="O74" s="9"/>
      <c r="P74" s="9"/>
      <c r="Q74" s="9"/>
      <c r="R74" s="9"/>
      <c r="S74" s="9"/>
      <c r="T74" s="9" t="s">
        <v>121</v>
      </c>
      <c r="U74" s="9"/>
      <c r="V74" s="9"/>
      <c r="W74" s="9"/>
      <c r="X74" s="9"/>
      <c r="Y74" s="9"/>
      <c r="Z74" s="20"/>
    </row>
    <row r="75" spans="2:26" x14ac:dyDescent="0.3">
      <c r="B75" s="19">
        <f t="shared" si="1"/>
        <v>251006</v>
      </c>
      <c r="C75" s="6">
        <v>51006</v>
      </c>
      <c r="D75" s="19" t="s">
        <v>146</v>
      </c>
      <c r="E75" s="6" t="s">
        <v>154</v>
      </c>
      <c r="F75" s="6"/>
      <c r="G75" s="22" t="s">
        <v>110</v>
      </c>
      <c r="H75" s="6">
        <v>5</v>
      </c>
      <c r="I75" s="20" t="s">
        <v>143</v>
      </c>
      <c r="J75" s="9">
        <v>299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 t="s">
        <v>115</v>
      </c>
      <c r="W75" s="9"/>
      <c r="X75" s="9"/>
      <c r="Y75" s="9"/>
      <c r="Z75" s="20"/>
    </row>
    <row r="76" spans="2:26" x14ac:dyDescent="0.3">
      <c r="B76" s="19">
        <f t="shared" si="1"/>
        <v>261001</v>
      </c>
      <c r="C76" s="6">
        <v>61001</v>
      </c>
      <c r="D76" s="19" t="s">
        <v>146</v>
      </c>
      <c r="E76" s="6" t="s">
        <v>149</v>
      </c>
      <c r="F76" s="6"/>
      <c r="G76" s="6" t="s">
        <v>104</v>
      </c>
      <c r="H76" s="6">
        <v>6</v>
      </c>
      <c r="I76" s="20" t="s">
        <v>138</v>
      </c>
      <c r="J76" s="9">
        <v>1</v>
      </c>
      <c r="K76"/>
      <c r="L76" s="2"/>
      <c r="M76" s="2"/>
      <c r="N76" s="2"/>
      <c r="O76"/>
      <c r="P76"/>
      <c r="Q76" s="2"/>
      <c r="R76" s="2">
        <v>1</v>
      </c>
      <c r="S76" s="2">
        <v>2000</v>
      </c>
      <c r="T76" s="2"/>
      <c r="U76" s="2"/>
      <c r="V76"/>
      <c r="W76" s="2"/>
      <c r="X76"/>
      <c r="Y76"/>
    </row>
    <row r="77" spans="2:26" x14ac:dyDescent="0.3">
      <c r="B77" s="19">
        <f t="shared" si="1"/>
        <v>261002</v>
      </c>
      <c r="C77" s="6">
        <v>61002</v>
      </c>
      <c r="D77" s="19" t="s">
        <v>146</v>
      </c>
      <c r="E77" s="6" t="s">
        <v>150</v>
      </c>
      <c r="F77" s="6"/>
      <c r="G77" s="22" t="s">
        <v>111</v>
      </c>
      <c r="H77" s="6">
        <v>6</v>
      </c>
      <c r="I77" s="27" t="s">
        <v>139</v>
      </c>
      <c r="J77" s="9" t="s">
        <v>58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2">
        <v>19103</v>
      </c>
      <c r="X77" s="9"/>
      <c r="Y77" s="9"/>
      <c r="Z77" s="2"/>
    </row>
    <row r="78" spans="2:26" x14ac:dyDescent="0.3">
      <c r="B78" s="19">
        <f t="shared" si="1"/>
        <v>261004</v>
      </c>
      <c r="C78" s="6">
        <v>61004</v>
      </c>
      <c r="D78" s="19" t="s">
        <v>146</v>
      </c>
      <c r="E78" s="6" t="s">
        <v>152</v>
      </c>
      <c r="F78" s="6"/>
      <c r="G78" s="22" t="s">
        <v>116</v>
      </c>
      <c r="H78" s="6">
        <v>6</v>
      </c>
      <c r="I78" s="20" t="s">
        <v>141</v>
      </c>
      <c r="J78" s="9">
        <v>99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 t="s">
        <v>114</v>
      </c>
      <c r="W78" s="9"/>
      <c r="X78" s="9"/>
      <c r="Y78" s="9"/>
      <c r="Z78" s="20"/>
    </row>
    <row r="79" spans="2:26" x14ac:dyDescent="0.3">
      <c r="B79" s="19">
        <f t="shared" si="1"/>
        <v>261006</v>
      </c>
      <c r="C79" s="6">
        <v>61006</v>
      </c>
      <c r="D79" s="19" t="s">
        <v>146</v>
      </c>
      <c r="E79" s="6" t="s">
        <v>154</v>
      </c>
      <c r="F79" s="6"/>
      <c r="G79" s="22" t="s">
        <v>110</v>
      </c>
      <c r="H79" s="6">
        <v>6</v>
      </c>
      <c r="I79" s="20" t="s">
        <v>143</v>
      </c>
      <c r="J79" s="9">
        <v>299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 t="s">
        <v>115</v>
      </c>
      <c r="W79" s="9"/>
      <c r="X79" s="9"/>
      <c r="Y79" s="9"/>
      <c r="Z79" s="20"/>
    </row>
    <row r="80" spans="2:26" x14ac:dyDescent="0.3">
      <c r="B80" s="19">
        <f t="shared" si="1"/>
        <v>271001</v>
      </c>
      <c r="C80" s="6">
        <v>71001</v>
      </c>
      <c r="D80" s="19" t="s">
        <v>146</v>
      </c>
      <c r="E80" s="6" t="s">
        <v>149</v>
      </c>
      <c r="F80" s="6"/>
      <c r="G80" s="25" t="s">
        <v>129</v>
      </c>
      <c r="H80" s="6">
        <v>7</v>
      </c>
      <c r="I80" s="20" t="s">
        <v>138</v>
      </c>
      <c r="J80" s="9">
        <v>1</v>
      </c>
      <c r="K80"/>
      <c r="L80" s="2"/>
      <c r="M80" s="2"/>
      <c r="N80" s="2"/>
      <c r="O80"/>
      <c r="P80"/>
      <c r="Q80" s="2"/>
      <c r="R80" s="2"/>
      <c r="S80" s="2"/>
      <c r="T80" s="2"/>
      <c r="U80" s="2"/>
      <c r="V80"/>
      <c r="W80" s="2">
        <v>19006</v>
      </c>
      <c r="X80"/>
      <c r="Y80"/>
    </row>
    <row r="81" spans="1:28" x14ac:dyDescent="0.3">
      <c r="B81" s="19">
        <f t="shared" si="1"/>
        <v>271002</v>
      </c>
      <c r="C81" s="6">
        <v>71002</v>
      </c>
      <c r="D81" s="19" t="s">
        <v>146</v>
      </c>
      <c r="E81" s="6" t="s">
        <v>150</v>
      </c>
      <c r="F81" s="6"/>
      <c r="G81" s="26" t="s">
        <v>130</v>
      </c>
      <c r="H81" s="6">
        <v>7</v>
      </c>
      <c r="I81" s="27" t="s">
        <v>139</v>
      </c>
      <c r="J81" s="9" t="s">
        <v>58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2"/>
      <c r="X81" s="9"/>
      <c r="Y81" s="9"/>
      <c r="Z81" s="2"/>
    </row>
    <row r="82" spans="1:28" x14ac:dyDescent="0.3">
      <c r="B82" s="19">
        <f t="shared" si="1"/>
        <v>271003</v>
      </c>
      <c r="C82" s="23" t="s">
        <v>128</v>
      </c>
      <c r="D82" s="19" t="s">
        <v>146</v>
      </c>
      <c r="E82" s="6" t="s">
        <v>151</v>
      </c>
      <c r="F82" s="6"/>
      <c r="G82" s="25" t="s">
        <v>131</v>
      </c>
      <c r="H82" s="6">
        <v>7</v>
      </c>
      <c r="I82" s="20" t="s">
        <v>140</v>
      </c>
      <c r="J82" s="9">
        <v>52</v>
      </c>
      <c r="W82" s="4"/>
    </row>
    <row r="83" spans="1:28" x14ac:dyDescent="0.3">
      <c r="B83" s="19">
        <f t="shared" si="1"/>
        <v>271004</v>
      </c>
      <c r="C83" s="6">
        <v>71004</v>
      </c>
      <c r="D83" s="19" t="s">
        <v>146</v>
      </c>
      <c r="E83" s="6" t="s">
        <v>152</v>
      </c>
      <c r="F83" s="6"/>
      <c r="G83" s="25" t="s">
        <v>132</v>
      </c>
      <c r="H83" s="6">
        <v>7</v>
      </c>
      <c r="I83" s="20" t="s">
        <v>141</v>
      </c>
      <c r="J83" s="9">
        <v>99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 t="s">
        <v>114</v>
      </c>
      <c r="W83" s="9"/>
      <c r="X83" s="9"/>
      <c r="Y83" s="9"/>
      <c r="Z83" s="20"/>
    </row>
    <row r="84" spans="1:28" x14ac:dyDescent="0.3">
      <c r="B84" s="19">
        <f t="shared" si="1"/>
        <v>271005</v>
      </c>
      <c r="C84" s="23" t="s">
        <v>127</v>
      </c>
      <c r="D84" s="19" t="s">
        <v>146</v>
      </c>
      <c r="E84" s="6" t="s">
        <v>153</v>
      </c>
      <c r="F84" s="6"/>
      <c r="G84" s="25" t="s">
        <v>133</v>
      </c>
      <c r="H84" s="6">
        <v>7</v>
      </c>
      <c r="I84" s="20" t="s">
        <v>142</v>
      </c>
      <c r="J84" s="9">
        <v>199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20"/>
    </row>
    <row r="85" spans="1:28" x14ac:dyDescent="0.3">
      <c r="B85" s="19">
        <f t="shared" si="1"/>
        <v>271006</v>
      </c>
      <c r="C85" s="6">
        <v>71006</v>
      </c>
      <c r="D85" s="19" t="s">
        <v>146</v>
      </c>
      <c r="E85" s="6" t="s">
        <v>154</v>
      </c>
      <c r="F85" s="6"/>
      <c r="G85" s="25" t="s">
        <v>134</v>
      </c>
      <c r="H85" s="6">
        <v>7</v>
      </c>
      <c r="I85" s="20" t="s">
        <v>143</v>
      </c>
      <c r="J85" s="9">
        <v>299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 t="s">
        <v>115</v>
      </c>
      <c r="W85" s="9"/>
      <c r="X85" s="9"/>
      <c r="Y85" s="9"/>
      <c r="Z85" s="20"/>
    </row>
    <row r="86" spans="1:28" x14ac:dyDescent="0.3">
      <c r="A86" s="3"/>
      <c r="B86" s="4">
        <f>C86+300000</f>
        <v>311001</v>
      </c>
      <c r="C86" s="8" t="s">
        <v>51</v>
      </c>
      <c r="D86" s="19" t="s">
        <v>172</v>
      </c>
      <c r="E86" s="6" t="s">
        <v>164</v>
      </c>
      <c r="F86" s="6"/>
      <c r="G86" s="6" t="s">
        <v>53</v>
      </c>
      <c r="H86" s="6">
        <v>1</v>
      </c>
      <c r="I86" s="9" t="s">
        <v>192</v>
      </c>
      <c r="J86" s="9">
        <v>1</v>
      </c>
      <c r="K86"/>
      <c r="L86" s="2">
        <v>1</v>
      </c>
      <c r="M86" s="24" t="s">
        <v>126</v>
      </c>
      <c r="N86" s="2">
        <v>1</v>
      </c>
      <c r="O86"/>
      <c r="P86"/>
      <c r="Q86"/>
      <c r="R86"/>
      <c r="S86"/>
      <c r="T86"/>
      <c r="U86"/>
      <c r="V86"/>
      <c r="W86" s="2">
        <v>19006</v>
      </c>
      <c r="X86"/>
      <c r="Y86"/>
    </row>
    <row r="87" spans="1:28" x14ac:dyDescent="0.3">
      <c r="A87" s="3"/>
      <c r="B87" s="4">
        <f t="shared" ref="B87:B125" si="2">C87+300000</f>
        <v>311002</v>
      </c>
      <c r="C87" s="8">
        <v>11002</v>
      </c>
      <c r="D87" s="19" t="s">
        <v>172</v>
      </c>
      <c r="E87" s="22" t="s">
        <v>166</v>
      </c>
      <c r="F87" s="6"/>
      <c r="G87" s="6" t="s">
        <v>56</v>
      </c>
      <c r="H87" s="6">
        <v>1</v>
      </c>
      <c r="I87" s="10" t="s">
        <v>193</v>
      </c>
      <c r="J87" s="9" t="s">
        <v>58</v>
      </c>
      <c r="K87" s="9" t="s">
        <v>59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2">
        <v>10</v>
      </c>
      <c r="AB87" t="s">
        <v>60</v>
      </c>
    </row>
    <row r="88" spans="1:28" x14ac:dyDescent="0.3">
      <c r="A88" s="3"/>
      <c r="B88" s="4">
        <f t="shared" si="2"/>
        <v>311003</v>
      </c>
      <c r="C88" s="8">
        <v>11003</v>
      </c>
      <c r="D88" s="19" t="s">
        <v>172</v>
      </c>
      <c r="E88" s="22" t="s">
        <v>180</v>
      </c>
      <c r="F88" s="6"/>
      <c r="G88" s="6" t="s">
        <v>62</v>
      </c>
      <c r="H88" s="6">
        <v>1</v>
      </c>
      <c r="I88" s="9" t="s">
        <v>194</v>
      </c>
      <c r="J88" s="9" t="s">
        <v>181</v>
      </c>
      <c r="K88" s="9" t="s">
        <v>64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 t="s">
        <v>58</v>
      </c>
      <c r="Y88" s="9" t="s">
        <v>65</v>
      </c>
    </row>
    <row r="89" spans="1:28" x14ac:dyDescent="0.3">
      <c r="A89" s="3"/>
      <c r="B89" s="4">
        <f t="shared" si="2"/>
        <v>311004</v>
      </c>
      <c r="C89" s="8">
        <v>11004</v>
      </c>
      <c r="D89" s="19" t="s">
        <v>172</v>
      </c>
      <c r="E89" s="6" t="s">
        <v>167</v>
      </c>
      <c r="F89" s="6"/>
      <c r="G89" s="6" t="s">
        <v>67</v>
      </c>
      <c r="H89" s="6">
        <v>1</v>
      </c>
      <c r="I89" s="9" t="s">
        <v>195</v>
      </c>
      <c r="J89" s="9">
        <v>99</v>
      </c>
      <c r="K89" s="9" t="s">
        <v>69</v>
      </c>
      <c r="L89" s="9"/>
      <c r="M89" s="9"/>
      <c r="N89" s="9"/>
      <c r="O89" s="9"/>
      <c r="P89" s="9" t="s">
        <v>70</v>
      </c>
      <c r="Q89" s="9"/>
      <c r="R89" s="9"/>
      <c r="S89" s="9"/>
      <c r="T89" s="9"/>
      <c r="U89" s="9"/>
      <c r="V89" s="9"/>
      <c r="W89" s="9"/>
      <c r="X89" s="9" t="s">
        <v>58</v>
      </c>
      <c r="Y89" s="9" t="s">
        <v>71</v>
      </c>
      <c r="Z89" s="20"/>
    </row>
    <row r="90" spans="1:28" x14ac:dyDescent="0.3">
      <c r="A90" s="3"/>
      <c r="B90" s="4">
        <f t="shared" si="2"/>
        <v>311005</v>
      </c>
      <c r="C90" s="8">
        <v>11005</v>
      </c>
      <c r="D90" s="19" t="s">
        <v>172</v>
      </c>
      <c r="E90" s="6" t="s">
        <v>168</v>
      </c>
      <c r="F90" s="11"/>
      <c r="G90" s="11" t="s">
        <v>73</v>
      </c>
      <c r="H90" s="6">
        <v>1</v>
      </c>
      <c r="I90" s="9" t="s">
        <v>196</v>
      </c>
      <c r="J90" s="9">
        <v>199</v>
      </c>
      <c r="K90" s="9"/>
      <c r="L90" s="9"/>
      <c r="M90" s="9"/>
      <c r="N90" s="9"/>
      <c r="O90" s="9" t="s">
        <v>75</v>
      </c>
      <c r="P90" s="9"/>
      <c r="Q90" s="9"/>
      <c r="R90" s="9"/>
      <c r="S90" s="9"/>
      <c r="T90" s="9"/>
      <c r="U90" s="9"/>
      <c r="V90" s="9"/>
      <c r="W90" s="9"/>
      <c r="X90" s="9"/>
      <c r="Y90" s="9"/>
      <c r="Z90" s="20">
        <v>1</v>
      </c>
      <c r="AA90">
        <v>1</v>
      </c>
    </row>
    <row r="91" spans="1:28" x14ac:dyDescent="0.3">
      <c r="A91" s="3"/>
      <c r="B91" s="4">
        <f t="shared" si="2"/>
        <v>311006</v>
      </c>
      <c r="C91" s="8">
        <v>11006</v>
      </c>
      <c r="D91" s="19" t="s">
        <v>172</v>
      </c>
      <c r="E91" s="6" t="s">
        <v>169</v>
      </c>
      <c r="F91" s="6"/>
      <c r="G91" s="6" t="s">
        <v>77</v>
      </c>
      <c r="H91" s="6">
        <v>1</v>
      </c>
      <c r="I91" s="9" t="s">
        <v>197</v>
      </c>
      <c r="J91" s="9">
        <v>299</v>
      </c>
      <c r="K91" s="9"/>
      <c r="L91" s="9" t="s">
        <v>75</v>
      </c>
      <c r="M91" s="9"/>
      <c r="N91" s="9"/>
      <c r="O91" s="9"/>
      <c r="P91" s="9"/>
      <c r="Q91" s="9"/>
      <c r="R91" s="9"/>
      <c r="S91" s="9"/>
      <c r="T91" s="9"/>
      <c r="U91" s="9"/>
      <c r="V91" s="9" t="s">
        <v>113</v>
      </c>
      <c r="W91" s="9" t="s">
        <v>80</v>
      </c>
      <c r="X91" s="9"/>
      <c r="Y91" s="9"/>
      <c r="Z91" s="20"/>
    </row>
    <row r="92" spans="1:28" x14ac:dyDescent="0.3">
      <c r="A92" s="3"/>
      <c r="B92" s="4">
        <f t="shared" si="2"/>
        <v>311007</v>
      </c>
      <c r="C92" s="8" t="s">
        <v>81</v>
      </c>
      <c r="D92" s="19" t="s">
        <v>172</v>
      </c>
      <c r="E92" s="6" t="s">
        <v>170</v>
      </c>
      <c r="F92" s="6"/>
      <c r="G92" s="6" t="s">
        <v>43</v>
      </c>
      <c r="H92" s="6">
        <v>1</v>
      </c>
      <c r="I92" s="9" t="s">
        <v>198</v>
      </c>
      <c r="J92" s="9" t="s">
        <v>84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 t="s">
        <v>75</v>
      </c>
      <c r="V92" s="9"/>
      <c r="W92" s="9"/>
      <c r="X92" s="9"/>
      <c r="Y92" s="9"/>
      <c r="Z92" s="20"/>
    </row>
    <row r="93" spans="1:28" x14ac:dyDescent="0.3">
      <c r="A93" s="3"/>
      <c r="B93" s="4">
        <f t="shared" si="2"/>
        <v>311008</v>
      </c>
      <c r="C93" s="23" t="s">
        <v>85</v>
      </c>
      <c r="D93" s="19" t="s">
        <v>172</v>
      </c>
      <c r="E93" s="22" t="s">
        <v>165</v>
      </c>
      <c r="F93" s="6"/>
      <c r="G93" s="22" t="s">
        <v>87</v>
      </c>
      <c r="H93" s="6">
        <v>1</v>
      </c>
      <c r="I93" s="9" t="s">
        <v>199</v>
      </c>
      <c r="J93" s="9" t="s">
        <v>171</v>
      </c>
      <c r="K93" s="9" t="s">
        <v>90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20"/>
    </row>
    <row r="94" spans="1:28" x14ac:dyDescent="0.3">
      <c r="A94" s="3"/>
      <c r="B94" s="4">
        <f t="shared" si="2"/>
        <v>321001</v>
      </c>
      <c r="C94" s="8">
        <v>21001</v>
      </c>
      <c r="D94" s="19" t="s">
        <v>172</v>
      </c>
      <c r="E94" s="6" t="s">
        <v>164</v>
      </c>
      <c r="F94" s="6"/>
      <c r="G94" s="6" t="s">
        <v>53</v>
      </c>
      <c r="H94" s="6">
        <v>2</v>
      </c>
      <c r="I94" s="9" t="s">
        <v>192</v>
      </c>
      <c r="J94" s="9">
        <v>1</v>
      </c>
      <c r="K94"/>
      <c r="L94" s="2"/>
      <c r="M94" s="2"/>
      <c r="N94"/>
      <c r="O94"/>
      <c r="P94"/>
      <c r="Q94"/>
      <c r="R94"/>
      <c r="S94"/>
      <c r="T94"/>
      <c r="U94"/>
      <c r="V94" s="9"/>
      <c r="W94" s="2">
        <v>19006</v>
      </c>
      <c r="X94"/>
      <c r="Y94"/>
    </row>
    <row r="95" spans="1:28" x14ac:dyDescent="0.3">
      <c r="A95" s="3"/>
      <c r="B95" s="4">
        <f t="shared" si="2"/>
        <v>321002</v>
      </c>
      <c r="C95" s="8">
        <v>21002</v>
      </c>
      <c r="D95" s="19" t="s">
        <v>172</v>
      </c>
      <c r="E95" s="22" t="s">
        <v>166</v>
      </c>
      <c r="F95" s="6"/>
      <c r="G95" s="6" t="s">
        <v>56</v>
      </c>
      <c r="H95" s="6">
        <v>2</v>
      </c>
      <c r="I95" s="10" t="s">
        <v>193</v>
      </c>
      <c r="J95" s="9" t="s">
        <v>58</v>
      </c>
      <c r="K95" s="9" t="s">
        <v>59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2">
        <v>10</v>
      </c>
      <c r="AB95" t="s">
        <v>60</v>
      </c>
    </row>
    <row r="96" spans="1:28" x14ac:dyDescent="0.3">
      <c r="A96" s="3"/>
      <c r="B96" s="4">
        <f t="shared" si="2"/>
        <v>321003</v>
      </c>
      <c r="C96" s="8">
        <v>21003</v>
      </c>
      <c r="D96" s="19" t="s">
        <v>172</v>
      </c>
      <c r="E96" s="22" t="s">
        <v>180</v>
      </c>
      <c r="F96" s="6"/>
      <c r="G96" s="6" t="s">
        <v>62</v>
      </c>
      <c r="H96" s="6">
        <v>2</v>
      </c>
      <c r="I96" s="9" t="s">
        <v>194</v>
      </c>
      <c r="J96" s="9" t="s">
        <v>181</v>
      </c>
      <c r="K96" s="9" t="s">
        <v>64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 t="s">
        <v>58</v>
      </c>
      <c r="Y96" s="9" t="s">
        <v>65</v>
      </c>
    </row>
    <row r="97" spans="1:26" x14ac:dyDescent="0.3">
      <c r="A97" s="3"/>
      <c r="B97" s="4">
        <f t="shared" si="2"/>
        <v>321004</v>
      </c>
      <c r="C97" s="8">
        <v>21004</v>
      </c>
      <c r="D97" s="19" t="s">
        <v>172</v>
      </c>
      <c r="E97" s="6" t="s">
        <v>167</v>
      </c>
      <c r="F97" s="6"/>
      <c r="G97" s="6" t="s">
        <v>67</v>
      </c>
      <c r="H97" s="6">
        <v>2</v>
      </c>
      <c r="I97" s="9" t="s">
        <v>195</v>
      </c>
      <c r="J97" s="9">
        <v>99</v>
      </c>
      <c r="K97" s="9" t="s">
        <v>69</v>
      </c>
      <c r="L97" s="9"/>
      <c r="M97" s="9"/>
      <c r="N97" s="9"/>
      <c r="O97" s="9"/>
      <c r="P97" s="9" t="s">
        <v>70</v>
      </c>
      <c r="Q97" s="9"/>
      <c r="R97" s="9"/>
      <c r="S97" s="9"/>
      <c r="T97" s="9"/>
      <c r="U97" s="9"/>
      <c r="V97" s="9"/>
      <c r="W97" s="9"/>
      <c r="X97" s="9" t="s">
        <v>58</v>
      </c>
      <c r="Y97" s="9" t="s">
        <v>71</v>
      </c>
      <c r="Z97" s="20"/>
    </row>
    <row r="98" spans="1:26" x14ac:dyDescent="0.3">
      <c r="A98" s="3"/>
      <c r="B98" s="4">
        <f t="shared" si="2"/>
        <v>321005</v>
      </c>
      <c r="C98" s="8">
        <v>21005</v>
      </c>
      <c r="D98" s="19" t="s">
        <v>172</v>
      </c>
      <c r="E98" s="6" t="s">
        <v>168</v>
      </c>
      <c r="F98" s="6"/>
      <c r="G98" s="17" t="s">
        <v>91</v>
      </c>
      <c r="H98" s="6">
        <v>2</v>
      </c>
      <c r="I98" s="9" t="s">
        <v>196</v>
      </c>
      <c r="J98" s="9">
        <v>199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 t="s">
        <v>92</v>
      </c>
      <c r="W98" s="9"/>
      <c r="X98" s="9"/>
      <c r="Y98" s="9"/>
      <c r="Z98" s="20"/>
    </row>
    <row r="99" spans="1:26" ht="27" x14ac:dyDescent="0.3">
      <c r="A99" s="3"/>
      <c r="B99" s="4">
        <f t="shared" si="2"/>
        <v>321006</v>
      </c>
      <c r="C99" s="8">
        <v>21006</v>
      </c>
      <c r="D99" s="19" t="s">
        <v>172</v>
      </c>
      <c r="E99" s="6" t="s">
        <v>169</v>
      </c>
      <c r="F99" s="6"/>
      <c r="G99" s="17" t="s">
        <v>77</v>
      </c>
      <c r="H99" s="6">
        <v>2</v>
      </c>
      <c r="I99" s="9" t="s">
        <v>197</v>
      </c>
      <c r="J99" s="9">
        <v>299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 t="s">
        <v>161</v>
      </c>
      <c r="W99" s="9"/>
      <c r="X99" s="9"/>
      <c r="Y99" s="9"/>
      <c r="Z99" s="20"/>
    </row>
    <row r="100" spans="1:26" x14ac:dyDescent="0.3">
      <c r="A100" s="3"/>
      <c r="B100" s="4">
        <f t="shared" si="2"/>
        <v>321007</v>
      </c>
      <c r="C100" s="23" t="s">
        <v>93</v>
      </c>
      <c r="D100" s="19" t="s">
        <v>172</v>
      </c>
      <c r="E100" s="22" t="s">
        <v>165</v>
      </c>
      <c r="F100" s="6"/>
      <c r="G100" s="22" t="s">
        <v>87</v>
      </c>
      <c r="H100" s="6">
        <v>2</v>
      </c>
      <c r="I100" s="9" t="s">
        <v>199</v>
      </c>
      <c r="J100" s="9" t="s">
        <v>171</v>
      </c>
      <c r="K100" s="9" t="s">
        <v>90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20"/>
    </row>
    <row r="101" spans="1:26" x14ac:dyDescent="0.3">
      <c r="A101" s="3"/>
      <c r="B101" s="4">
        <f t="shared" si="2"/>
        <v>331001</v>
      </c>
      <c r="C101" s="8">
        <v>31001</v>
      </c>
      <c r="D101" s="19" t="s">
        <v>172</v>
      </c>
      <c r="E101" s="6" t="s">
        <v>164</v>
      </c>
      <c r="F101" s="6"/>
      <c r="G101" s="6" t="s">
        <v>94</v>
      </c>
      <c r="H101" s="6">
        <v>3</v>
      </c>
      <c r="I101" s="9" t="s">
        <v>192</v>
      </c>
      <c r="J101" s="9">
        <v>1</v>
      </c>
      <c r="V101" s="9" t="s">
        <v>95</v>
      </c>
      <c r="W101" s="4"/>
    </row>
    <row r="102" spans="1:26" x14ac:dyDescent="0.3">
      <c r="A102" s="3"/>
      <c r="B102" s="4">
        <f t="shared" si="2"/>
        <v>331002</v>
      </c>
      <c r="C102" s="8">
        <v>31002</v>
      </c>
      <c r="D102" s="19" t="s">
        <v>172</v>
      </c>
      <c r="E102" s="22" t="s">
        <v>166</v>
      </c>
      <c r="F102" s="6"/>
      <c r="G102" s="6" t="s">
        <v>96</v>
      </c>
      <c r="H102" s="6">
        <v>3</v>
      </c>
      <c r="I102" s="10" t="s">
        <v>193</v>
      </c>
      <c r="J102" s="9" t="s">
        <v>58</v>
      </c>
      <c r="V102" s="9" t="s">
        <v>97</v>
      </c>
      <c r="W102" s="4"/>
    </row>
    <row r="103" spans="1:26" x14ac:dyDescent="0.3">
      <c r="A103" s="3"/>
      <c r="B103" s="4">
        <f t="shared" si="2"/>
        <v>331003</v>
      </c>
      <c r="C103" s="8">
        <v>31003</v>
      </c>
      <c r="D103" s="19" t="s">
        <v>172</v>
      </c>
      <c r="E103" s="22" t="s">
        <v>180</v>
      </c>
      <c r="F103" s="6"/>
      <c r="G103" s="6" t="s">
        <v>98</v>
      </c>
      <c r="H103" s="6">
        <v>3</v>
      </c>
      <c r="I103" s="9" t="s">
        <v>194</v>
      </c>
      <c r="J103" s="9" t="s">
        <v>181</v>
      </c>
      <c r="W103" s="4"/>
    </row>
    <row r="104" spans="1:26" x14ac:dyDescent="0.3">
      <c r="A104" s="3"/>
      <c r="B104" s="4">
        <f t="shared" si="2"/>
        <v>331004</v>
      </c>
      <c r="C104" s="8">
        <v>31004</v>
      </c>
      <c r="D104" s="19" t="s">
        <v>172</v>
      </c>
      <c r="E104" s="6" t="s">
        <v>167</v>
      </c>
      <c r="F104" s="6"/>
      <c r="G104" s="6" t="s">
        <v>99</v>
      </c>
      <c r="H104" s="6">
        <v>3</v>
      </c>
      <c r="I104" s="9" t="s">
        <v>195</v>
      </c>
      <c r="J104" s="9">
        <v>99</v>
      </c>
      <c r="O104"/>
      <c r="P104"/>
      <c r="Q104"/>
      <c r="R104"/>
      <c r="S104"/>
      <c r="T104"/>
      <c r="U104"/>
      <c r="V104" s="9" t="s">
        <v>100</v>
      </c>
      <c r="W104" s="4"/>
    </row>
    <row r="105" spans="1:26" x14ac:dyDescent="0.3">
      <c r="A105" s="3"/>
      <c r="B105" s="4">
        <f t="shared" si="2"/>
        <v>331005</v>
      </c>
      <c r="C105" s="8">
        <v>31005</v>
      </c>
      <c r="D105" s="19" t="s">
        <v>172</v>
      </c>
      <c r="E105" s="6" t="s">
        <v>168</v>
      </c>
      <c r="F105" s="6"/>
      <c r="G105" s="11" t="s">
        <v>101</v>
      </c>
      <c r="H105" s="6">
        <v>3</v>
      </c>
      <c r="I105" s="9" t="s">
        <v>196</v>
      </c>
      <c r="J105" s="9">
        <v>199</v>
      </c>
      <c r="W105" s="4"/>
    </row>
    <row r="106" spans="1:26" x14ac:dyDescent="0.3">
      <c r="A106" s="3"/>
      <c r="B106" s="4">
        <f t="shared" si="2"/>
        <v>331006</v>
      </c>
      <c r="C106" s="8">
        <v>31006</v>
      </c>
      <c r="D106" s="19" t="s">
        <v>172</v>
      </c>
      <c r="E106" s="6" t="s">
        <v>169</v>
      </c>
      <c r="F106" s="6"/>
      <c r="G106" s="17" t="s">
        <v>102</v>
      </c>
      <c r="H106" s="6">
        <v>3</v>
      </c>
      <c r="I106" s="9" t="s">
        <v>197</v>
      </c>
      <c r="J106" s="9">
        <v>299</v>
      </c>
      <c r="V106" s="9" t="s">
        <v>103</v>
      </c>
      <c r="W106" s="4"/>
    </row>
    <row r="107" spans="1:26" x14ac:dyDescent="0.3">
      <c r="A107" s="3"/>
      <c r="B107" s="4">
        <f t="shared" si="2"/>
        <v>341001</v>
      </c>
      <c r="C107" s="6">
        <v>41001</v>
      </c>
      <c r="D107" s="19" t="s">
        <v>172</v>
      </c>
      <c r="E107" s="6" t="s">
        <v>164</v>
      </c>
      <c r="F107" s="6"/>
      <c r="G107" s="6" t="s">
        <v>104</v>
      </c>
      <c r="H107" s="6">
        <v>4</v>
      </c>
      <c r="I107" s="9" t="s">
        <v>192</v>
      </c>
      <c r="J107" s="9">
        <v>1</v>
      </c>
      <c r="K107"/>
      <c r="L107" s="2"/>
      <c r="M107" s="2"/>
      <c r="N107" s="2"/>
      <c r="O107"/>
      <c r="P107"/>
      <c r="Q107" s="2">
        <v>1</v>
      </c>
      <c r="R107" s="2"/>
      <c r="S107" s="2">
        <v>10000</v>
      </c>
      <c r="T107" s="2"/>
      <c r="U107" s="2"/>
      <c r="V107"/>
      <c r="W107" s="2"/>
      <c r="X107"/>
      <c r="Y107"/>
    </row>
    <row r="108" spans="1:26" ht="14.1" customHeight="1" x14ac:dyDescent="0.3">
      <c r="A108" s="3"/>
      <c r="B108" s="4">
        <f t="shared" si="2"/>
        <v>341002</v>
      </c>
      <c r="C108" s="6">
        <v>41002</v>
      </c>
      <c r="D108" s="19" t="s">
        <v>172</v>
      </c>
      <c r="E108" s="22" t="s">
        <v>166</v>
      </c>
      <c r="F108" s="6"/>
      <c r="G108" s="6" t="s">
        <v>105</v>
      </c>
      <c r="H108" s="6">
        <v>4</v>
      </c>
      <c r="I108" s="10" t="s">
        <v>193</v>
      </c>
      <c r="J108" s="9" t="s">
        <v>58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2">
        <v>19009</v>
      </c>
      <c r="X108" s="9"/>
      <c r="Y108" s="9"/>
      <c r="Z108" s="2"/>
    </row>
    <row r="109" spans="1:26" x14ac:dyDescent="0.3">
      <c r="A109" s="3"/>
      <c r="B109" s="4">
        <f t="shared" si="2"/>
        <v>341005</v>
      </c>
      <c r="C109" s="6">
        <v>41005</v>
      </c>
      <c r="D109" s="19" t="s">
        <v>172</v>
      </c>
      <c r="E109" s="6" t="s">
        <v>168</v>
      </c>
      <c r="F109" s="6"/>
      <c r="G109" s="6" t="s">
        <v>106</v>
      </c>
      <c r="H109" s="6">
        <v>4</v>
      </c>
      <c r="I109" s="9" t="s">
        <v>196</v>
      </c>
      <c r="J109" s="9">
        <v>199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 t="s">
        <v>108</v>
      </c>
      <c r="W109" s="9"/>
      <c r="X109" s="9"/>
      <c r="Y109" s="9"/>
      <c r="Z109" s="20"/>
    </row>
    <row r="110" spans="1:26" x14ac:dyDescent="0.3">
      <c r="A110" s="3"/>
      <c r="B110" s="4">
        <f t="shared" si="2"/>
        <v>341006</v>
      </c>
      <c r="C110" s="6">
        <v>41006</v>
      </c>
      <c r="D110" s="19" t="s">
        <v>172</v>
      </c>
      <c r="E110" s="6" t="s">
        <v>169</v>
      </c>
      <c r="F110" s="6"/>
      <c r="G110" s="6" t="s">
        <v>109</v>
      </c>
      <c r="H110" s="6">
        <v>4</v>
      </c>
      <c r="I110" s="9" t="s">
        <v>197</v>
      </c>
      <c r="J110" s="9">
        <v>299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 t="s">
        <v>112</v>
      </c>
      <c r="W110" s="9" t="s">
        <v>80</v>
      </c>
      <c r="X110" s="9"/>
      <c r="Y110" s="9"/>
      <c r="Z110" s="20"/>
    </row>
    <row r="111" spans="1:26" x14ac:dyDescent="0.3">
      <c r="A111" s="3"/>
      <c r="B111" s="4">
        <f t="shared" si="2"/>
        <v>351001</v>
      </c>
      <c r="C111" s="6">
        <v>51001</v>
      </c>
      <c r="D111" s="19" t="s">
        <v>172</v>
      </c>
      <c r="E111" s="6" t="s">
        <v>164</v>
      </c>
      <c r="F111" s="6"/>
      <c r="G111" s="6" t="s">
        <v>104</v>
      </c>
      <c r="H111" s="6">
        <v>5</v>
      </c>
      <c r="I111" s="9" t="s">
        <v>192</v>
      </c>
      <c r="J111" s="9">
        <v>1</v>
      </c>
      <c r="K111"/>
      <c r="L111" s="2"/>
      <c r="M111" s="2"/>
      <c r="N111" s="2"/>
      <c r="O111"/>
      <c r="P111"/>
      <c r="Q111" s="2"/>
      <c r="R111" s="2">
        <v>1</v>
      </c>
      <c r="S111" s="2">
        <v>2000</v>
      </c>
      <c r="T111" s="2"/>
      <c r="U111" s="2"/>
      <c r="V111"/>
      <c r="W111" s="2"/>
      <c r="X111"/>
      <c r="Y111"/>
    </row>
    <row r="112" spans="1:26" x14ac:dyDescent="0.3">
      <c r="A112" s="3"/>
      <c r="B112" s="4">
        <f t="shared" si="2"/>
        <v>351002</v>
      </c>
      <c r="C112" s="6">
        <v>51002</v>
      </c>
      <c r="D112" s="19" t="s">
        <v>172</v>
      </c>
      <c r="E112" s="22" t="s">
        <v>166</v>
      </c>
      <c r="F112" s="6"/>
      <c r="G112" s="22" t="s">
        <v>111</v>
      </c>
      <c r="H112" s="6">
        <v>5</v>
      </c>
      <c r="I112" s="10" t="s">
        <v>193</v>
      </c>
      <c r="J112" s="9" t="s">
        <v>58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2">
        <v>19103</v>
      </c>
      <c r="X112" s="9"/>
      <c r="Y112" s="9"/>
      <c r="Z112" s="2"/>
    </row>
    <row r="113" spans="1:26" x14ac:dyDescent="0.3">
      <c r="A113" s="3"/>
      <c r="B113" s="4">
        <f t="shared" si="2"/>
        <v>351004</v>
      </c>
      <c r="C113" s="6">
        <v>51004</v>
      </c>
      <c r="D113" s="19" t="s">
        <v>172</v>
      </c>
      <c r="E113" s="6" t="s">
        <v>167</v>
      </c>
      <c r="F113" s="6"/>
      <c r="G113" s="22" t="s">
        <v>116</v>
      </c>
      <c r="H113" s="6">
        <v>5</v>
      </c>
      <c r="I113" s="9" t="s">
        <v>195</v>
      </c>
      <c r="J113" s="9">
        <v>99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 t="s">
        <v>114</v>
      </c>
      <c r="W113" s="9"/>
      <c r="X113" s="9"/>
      <c r="Y113" s="9"/>
      <c r="Z113" s="20"/>
    </row>
    <row r="114" spans="1:26" x14ac:dyDescent="0.3">
      <c r="A114" s="3"/>
      <c r="B114" s="4">
        <f t="shared" si="2"/>
        <v>351005</v>
      </c>
      <c r="C114" s="23" t="s">
        <v>119</v>
      </c>
      <c r="D114" s="19" t="s">
        <v>172</v>
      </c>
      <c r="E114" s="6" t="s">
        <v>168</v>
      </c>
      <c r="F114" s="6"/>
      <c r="G114" s="17" t="s">
        <v>120</v>
      </c>
      <c r="H114" s="6">
        <v>5</v>
      </c>
      <c r="I114" s="9" t="s">
        <v>196</v>
      </c>
      <c r="J114" s="9">
        <v>199</v>
      </c>
      <c r="K114" s="9"/>
      <c r="L114" s="9"/>
      <c r="M114" s="9"/>
      <c r="N114" s="9"/>
      <c r="O114" s="9"/>
      <c r="P114" s="9"/>
      <c r="Q114" s="9"/>
      <c r="R114" s="9"/>
      <c r="S114" s="9"/>
      <c r="T114" s="9" t="s">
        <v>121</v>
      </c>
      <c r="U114" s="9"/>
      <c r="V114" s="9"/>
      <c r="W114" s="9"/>
      <c r="X114" s="9"/>
      <c r="Y114" s="9"/>
      <c r="Z114" s="20"/>
    </row>
    <row r="115" spans="1:26" x14ac:dyDescent="0.3">
      <c r="A115" s="3"/>
      <c r="B115" s="4">
        <f t="shared" si="2"/>
        <v>351006</v>
      </c>
      <c r="C115" s="6">
        <v>51006</v>
      </c>
      <c r="D115" s="19" t="s">
        <v>172</v>
      </c>
      <c r="E115" s="6" t="s">
        <v>169</v>
      </c>
      <c r="F115" s="6"/>
      <c r="G115" s="22" t="s">
        <v>110</v>
      </c>
      <c r="H115" s="6">
        <v>5</v>
      </c>
      <c r="I115" s="9" t="s">
        <v>197</v>
      </c>
      <c r="J115" s="9">
        <v>299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 t="s">
        <v>115</v>
      </c>
      <c r="W115" s="9"/>
      <c r="X115" s="9"/>
      <c r="Y115" s="9"/>
      <c r="Z115" s="20"/>
    </row>
    <row r="116" spans="1:26" x14ac:dyDescent="0.3">
      <c r="A116" s="3"/>
      <c r="B116" s="4">
        <f t="shared" si="2"/>
        <v>361001</v>
      </c>
      <c r="C116" s="6">
        <v>61001</v>
      </c>
      <c r="D116" s="19" t="s">
        <v>172</v>
      </c>
      <c r="E116" s="6" t="s">
        <v>164</v>
      </c>
      <c r="F116" s="6"/>
      <c r="G116" s="6" t="s">
        <v>104</v>
      </c>
      <c r="H116" s="6">
        <v>6</v>
      </c>
      <c r="I116" s="9" t="s">
        <v>192</v>
      </c>
      <c r="J116" s="9">
        <v>1</v>
      </c>
      <c r="K116"/>
      <c r="L116" s="2"/>
      <c r="M116" s="2"/>
      <c r="N116" s="2"/>
      <c r="O116"/>
      <c r="P116"/>
      <c r="Q116" s="2"/>
      <c r="R116" s="2">
        <v>1</v>
      </c>
      <c r="S116" s="2">
        <v>2000</v>
      </c>
      <c r="T116" s="2"/>
      <c r="U116" s="2"/>
      <c r="V116"/>
      <c r="W116" s="2"/>
      <c r="X116"/>
      <c r="Y116"/>
    </row>
    <row r="117" spans="1:26" x14ac:dyDescent="0.3">
      <c r="A117" s="3"/>
      <c r="B117" s="4">
        <f t="shared" si="2"/>
        <v>361002</v>
      </c>
      <c r="C117" s="6">
        <v>61002</v>
      </c>
      <c r="D117" s="19" t="s">
        <v>172</v>
      </c>
      <c r="E117" s="22" t="s">
        <v>166</v>
      </c>
      <c r="F117" s="6"/>
      <c r="G117" s="22" t="s">
        <v>111</v>
      </c>
      <c r="H117" s="6">
        <v>6</v>
      </c>
      <c r="I117" s="10" t="s">
        <v>193</v>
      </c>
      <c r="J117" s="9" t="s">
        <v>58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2">
        <v>19103</v>
      </c>
      <c r="X117" s="9"/>
      <c r="Y117" s="9"/>
      <c r="Z117" s="2"/>
    </row>
    <row r="118" spans="1:26" x14ac:dyDescent="0.3">
      <c r="A118" s="3"/>
      <c r="B118" s="4">
        <f t="shared" si="2"/>
        <v>361004</v>
      </c>
      <c r="C118" s="6">
        <v>61004</v>
      </c>
      <c r="D118" s="19" t="s">
        <v>172</v>
      </c>
      <c r="E118" s="6" t="s">
        <v>167</v>
      </c>
      <c r="F118" s="6"/>
      <c r="G118" s="22" t="s">
        <v>116</v>
      </c>
      <c r="H118" s="6">
        <v>6</v>
      </c>
      <c r="I118" s="9" t="s">
        <v>195</v>
      </c>
      <c r="J118" s="9">
        <v>99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 t="s">
        <v>114</v>
      </c>
      <c r="W118" s="9"/>
      <c r="X118" s="9"/>
      <c r="Y118" s="9"/>
      <c r="Z118" s="20"/>
    </row>
    <row r="119" spans="1:26" x14ac:dyDescent="0.3">
      <c r="A119" s="3"/>
      <c r="B119" s="4">
        <f t="shared" si="2"/>
        <v>361006</v>
      </c>
      <c r="C119" s="6">
        <v>61006</v>
      </c>
      <c r="D119" s="19" t="s">
        <v>172</v>
      </c>
      <c r="E119" s="6" t="s">
        <v>169</v>
      </c>
      <c r="F119" s="6"/>
      <c r="G119" s="22" t="s">
        <v>110</v>
      </c>
      <c r="H119" s="6">
        <v>6</v>
      </c>
      <c r="I119" s="9" t="s">
        <v>197</v>
      </c>
      <c r="J119" s="9">
        <v>299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 t="s">
        <v>115</v>
      </c>
      <c r="W119" s="9"/>
      <c r="X119" s="9"/>
      <c r="Y119" s="9"/>
      <c r="Z119" s="20"/>
    </row>
    <row r="120" spans="1:26" x14ac:dyDescent="0.3">
      <c r="A120" s="3"/>
      <c r="B120" s="4">
        <f t="shared" si="2"/>
        <v>371001</v>
      </c>
      <c r="C120" s="6">
        <v>71001</v>
      </c>
      <c r="D120" s="19" t="s">
        <v>172</v>
      </c>
      <c r="E120" s="6" t="s">
        <v>164</v>
      </c>
      <c r="F120" s="6"/>
      <c r="G120" s="25" t="s">
        <v>129</v>
      </c>
      <c r="H120" s="6">
        <v>7</v>
      </c>
      <c r="I120" s="9" t="s">
        <v>192</v>
      </c>
      <c r="J120" s="9">
        <v>1</v>
      </c>
      <c r="K120"/>
      <c r="L120" s="2"/>
      <c r="M120" s="2"/>
      <c r="N120" s="2"/>
      <c r="O120"/>
      <c r="P120"/>
      <c r="Q120" s="2"/>
      <c r="R120" s="2"/>
      <c r="S120" s="2"/>
      <c r="T120" s="2"/>
      <c r="U120" s="2"/>
      <c r="V120"/>
      <c r="W120" s="2">
        <v>19006</v>
      </c>
      <c r="X120"/>
      <c r="Y120"/>
    </row>
    <row r="121" spans="1:26" x14ac:dyDescent="0.3">
      <c r="A121" s="3"/>
      <c r="B121" s="4">
        <f t="shared" si="2"/>
        <v>371002</v>
      </c>
      <c r="C121" s="6">
        <v>71002</v>
      </c>
      <c r="D121" s="19" t="s">
        <v>172</v>
      </c>
      <c r="E121" s="22" t="s">
        <v>166</v>
      </c>
      <c r="F121" s="6"/>
      <c r="G121" s="26" t="s">
        <v>130</v>
      </c>
      <c r="H121" s="6">
        <v>7</v>
      </c>
      <c r="I121" s="10" t="s">
        <v>193</v>
      </c>
      <c r="J121" s="9" t="s">
        <v>58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2"/>
      <c r="X121" s="9"/>
      <c r="Y121" s="9"/>
      <c r="Z121" s="2"/>
    </row>
    <row r="122" spans="1:26" x14ac:dyDescent="0.3">
      <c r="A122" s="3"/>
      <c r="B122" s="4">
        <f t="shared" si="2"/>
        <v>371003</v>
      </c>
      <c r="C122" s="23" t="s">
        <v>128</v>
      </c>
      <c r="D122" s="19" t="s">
        <v>172</v>
      </c>
      <c r="E122" s="22" t="s">
        <v>180</v>
      </c>
      <c r="F122" s="6"/>
      <c r="G122" s="25" t="s">
        <v>131</v>
      </c>
      <c r="H122" s="6">
        <v>7</v>
      </c>
      <c r="I122" s="9" t="s">
        <v>194</v>
      </c>
      <c r="J122" s="9" t="s">
        <v>181</v>
      </c>
      <c r="W122" s="4"/>
    </row>
    <row r="123" spans="1:26" x14ac:dyDescent="0.3">
      <c r="A123" s="3"/>
      <c r="B123" s="4">
        <f t="shared" si="2"/>
        <v>371004</v>
      </c>
      <c r="C123" s="6">
        <v>71004</v>
      </c>
      <c r="D123" s="19" t="s">
        <v>172</v>
      </c>
      <c r="E123" s="6" t="s">
        <v>167</v>
      </c>
      <c r="F123" s="6"/>
      <c r="G123" s="25" t="s">
        <v>132</v>
      </c>
      <c r="H123" s="6">
        <v>7</v>
      </c>
      <c r="I123" s="9" t="s">
        <v>195</v>
      </c>
      <c r="J123" s="9">
        <v>99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 t="s">
        <v>114</v>
      </c>
      <c r="W123" s="9"/>
      <c r="X123" s="9"/>
      <c r="Y123" s="9"/>
      <c r="Z123" s="20"/>
    </row>
    <row r="124" spans="1:26" x14ac:dyDescent="0.3">
      <c r="A124" s="3"/>
      <c r="B124" s="4">
        <f t="shared" si="2"/>
        <v>371005</v>
      </c>
      <c r="C124" s="23" t="s">
        <v>127</v>
      </c>
      <c r="D124" s="19" t="s">
        <v>172</v>
      </c>
      <c r="E124" s="6" t="s">
        <v>168</v>
      </c>
      <c r="F124" s="6"/>
      <c r="G124" s="25" t="s">
        <v>133</v>
      </c>
      <c r="H124" s="6">
        <v>7</v>
      </c>
      <c r="I124" s="9" t="s">
        <v>196</v>
      </c>
      <c r="J124" s="9">
        <v>199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20"/>
    </row>
    <row r="125" spans="1:26" x14ac:dyDescent="0.3">
      <c r="A125" s="3"/>
      <c r="B125" s="4">
        <f t="shared" si="2"/>
        <v>371006</v>
      </c>
      <c r="C125" s="6">
        <v>71006</v>
      </c>
      <c r="D125" s="19" t="s">
        <v>172</v>
      </c>
      <c r="E125" s="6" t="s">
        <v>169</v>
      </c>
      <c r="F125" s="6"/>
      <c r="G125" s="25" t="s">
        <v>134</v>
      </c>
      <c r="H125" s="6">
        <v>7</v>
      </c>
      <c r="I125" s="9" t="s">
        <v>197</v>
      </c>
      <c r="J125" s="9">
        <v>299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 t="s">
        <v>115</v>
      </c>
      <c r="W125" s="9"/>
      <c r="X125" s="9"/>
      <c r="Y125" s="9"/>
      <c r="Z125" s="20"/>
    </row>
  </sheetData>
  <phoneticPr fontId="10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4EE2-A4D6-4850-B596-824CF076F0DB}">
  <dimension ref="E2:H41"/>
  <sheetViews>
    <sheetView workbookViewId="0">
      <selection activeCell="H2" sqref="H2:H41"/>
    </sheetView>
  </sheetViews>
  <sheetFormatPr defaultRowHeight="13.5" x14ac:dyDescent="0.3"/>
  <sheetData>
    <row r="2" spans="5:8" x14ac:dyDescent="0.3">
      <c r="E2" t="s">
        <v>173</v>
      </c>
      <c r="F2" s="28" t="s">
        <v>191</v>
      </c>
      <c r="G2" t="s">
        <v>186</v>
      </c>
      <c r="H2" t="str">
        <f>E2&amp;F2&amp;G2</f>
        <v>4898|1486</v>
      </c>
    </row>
    <row r="3" spans="5:8" x14ac:dyDescent="0.3">
      <c r="E3" t="s">
        <v>174</v>
      </c>
      <c r="F3" s="28" t="s">
        <v>191</v>
      </c>
      <c r="G3" t="s">
        <v>187</v>
      </c>
      <c r="H3" t="str">
        <f t="shared" ref="H3:H41" si="0">E3&amp;F3&amp;G3</f>
        <v>5887|1294</v>
      </c>
    </row>
    <row r="4" spans="5:8" x14ac:dyDescent="0.3">
      <c r="E4" t="s">
        <v>185</v>
      </c>
      <c r="F4" s="28" t="s">
        <v>191</v>
      </c>
      <c r="G4" t="s">
        <v>188</v>
      </c>
      <c r="H4" t="str">
        <f t="shared" si="0"/>
        <v>4893|1319</v>
      </c>
    </row>
    <row r="5" spans="5:8" x14ac:dyDescent="0.3">
      <c r="E5" t="s">
        <v>176</v>
      </c>
      <c r="F5" s="28" t="s">
        <v>191</v>
      </c>
      <c r="G5" t="s">
        <v>182</v>
      </c>
      <c r="H5" t="str">
        <f t="shared" si="0"/>
        <v>4895|1320</v>
      </c>
    </row>
    <row r="6" spans="5:8" x14ac:dyDescent="0.3">
      <c r="E6" t="s">
        <v>177</v>
      </c>
      <c r="F6" s="28" t="s">
        <v>191</v>
      </c>
      <c r="G6" t="s">
        <v>183</v>
      </c>
      <c r="H6" t="str">
        <f t="shared" si="0"/>
        <v>4896|1321</v>
      </c>
    </row>
    <row r="7" spans="5:8" x14ac:dyDescent="0.3">
      <c r="E7" t="s">
        <v>178</v>
      </c>
      <c r="F7" s="28" t="s">
        <v>191</v>
      </c>
      <c r="G7" t="s">
        <v>184</v>
      </c>
      <c r="H7" t="str">
        <f t="shared" si="0"/>
        <v>7028|1602</v>
      </c>
    </row>
    <row r="8" spans="5:8" x14ac:dyDescent="0.3">
      <c r="E8" t="s">
        <v>179</v>
      </c>
      <c r="F8" s="28" t="s">
        <v>191</v>
      </c>
      <c r="G8" t="s">
        <v>189</v>
      </c>
      <c r="H8" t="str">
        <f t="shared" si="0"/>
        <v>5478|1455</v>
      </c>
    </row>
    <row r="9" spans="5:8" x14ac:dyDescent="0.3">
      <c r="E9" t="s">
        <v>175</v>
      </c>
      <c r="F9" s="28" t="s">
        <v>191</v>
      </c>
      <c r="G9" t="s">
        <v>190</v>
      </c>
      <c r="H9" t="str">
        <f t="shared" si="0"/>
        <v>9790|2072</v>
      </c>
    </row>
    <row r="10" spans="5:8" x14ac:dyDescent="0.3">
      <c r="E10" t="s">
        <v>173</v>
      </c>
      <c r="F10" s="28" t="s">
        <v>191</v>
      </c>
      <c r="G10" t="s">
        <v>186</v>
      </c>
      <c r="H10" t="str">
        <f t="shared" si="0"/>
        <v>4898|1486</v>
      </c>
    </row>
    <row r="11" spans="5:8" x14ac:dyDescent="0.3">
      <c r="E11" t="s">
        <v>174</v>
      </c>
      <c r="F11" s="28" t="s">
        <v>191</v>
      </c>
      <c r="G11" t="s">
        <v>187</v>
      </c>
      <c r="H11" t="str">
        <f t="shared" si="0"/>
        <v>5887|1294</v>
      </c>
    </row>
    <row r="12" spans="5:8" x14ac:dyDescent="0.3">
      <c r="E12" t="s">
        <v>185</v>
      </c>
      <c r="F12" s="28" t="s">
        <v>191</v>
      </c>
      <c r="G12" t="s">
        <v>188</v>
      </c>
      <c r="H12" t="str">
        <f t="shared" si="0"/>
        <v>4893|1319</v>
      </c>
    </row>
    <row r="13" spans="5:8" x14ac:dyDescent="0.3">
      <c r="E13" t="s">
        <v>176</v>
      </c>
      <c r="F13" s="28" t="s">
        <v>191</v>
      </c>
      <c r="G13" t="s">
        <v>182</v>
      </c>
      <c r="H13" t="str">
        <f t="shared" si="0"/>
        <v>4895|1320</v>
      </c>
    </row>
    <row r="14" spans="5:8" x14ac:dyDescent="0.3">
      <c r="E14" t="s">
        <v>177</v>
      </c>
      <c r="F14" s="28" t="s">
        <v>191</v>
      </c>
      <c r="G14" t="s">
        <v>183</v>
      </c>
      <c r="H14" t="str">
        <f t="shared" si="0"/>
        <v>4896|1321</v>
      </c>
    </row>
    <row r="15" spans="5:8" x14ac:dyDescent="0.3">
      <c r="E15" t="s">
        <v>178</v>
      </c>
      <c r="F15" s="28" t="s">
        <v>191</v>
      </c>
      <c r="G15" t="s">
        <v>184</v>
      </c>
      <c r="H15" t="str">
        <f t="shared" si="0"/>
        <v>7028|1602</v>
      </c>
    </row>
    <row r="16" spans="5:8" x14ac:dyDescent="0.3">
      <c r="E16" t="s">
        <v>175</v>
      </c>
      <c r="F16" s="28" t="s">
        <v>191</v>
      </c>
      <c r="G16" t="s">
        <v>190</v>
      </c>
      <c r="H16" t="str">
        <f t="shared" si="0"/>
        <v>9790|2072</v>
      </c>
    </row>
    <row r="17" spans="5:8" x14ac:dyDescent="0.3">
      <c r="E17" t="s">
        <v>173</v>
      </c>
      <c r="F17" s="28" t="s">
        <v>191</v>
      </c>
      <c r="G17" t="s">
        <v>186</v>
      </c>
      <c r="H17" t="str">
        <f t="shared" si="0"/>
        <v>4898|1486</v>
      </c>
    </row>
    <row r="18" spans="5:8" x14ac:dyDescent="0.3">
      <c r="E18" t="s">
        <v>174</v>
      </c>
      <c r="F18" s="28" t="s">
        <v>191</v>
      </c>
      <c r="G18" t="s">
        <v>187</v>
      </c>
      <c r="H18" t="str">
        <f t="shared" si="0"/>
        <v>5887|1294</v>
      </c>
    </row>
    <row r="19" spans="5:8" x14ac:dyDescent="0.3">
      <c r="E19" t="s">
        <v>185</v>
      </c>
      <c r="F19" s="28" t="s">
        <v>191</v>
      </c>
      <c r="G19" t="s">
        <v>188</v>
      </c>
      <c r="H19" t="str">
        <f t="shared" si="0"/>
        <v>4893|1319</v>
      </c>
    </row>
    <row r="20" spans="5:8" x14ac:dyDescent="0.3">
      <c r="E20" t="s">
        <v>176</v>
      </c>
      <c r="F20" s="28" t="s">
        <v>191</v>
      </c>
      <c r="G20" t="s">
        <v>182</v>
      </c>
      <c r="H20" t="str">
        <f t="shared" si="0"/>
        <v>4895|1320</v>
      </c>
    </row>
    <row r="21" spans="5:8" x14ac:dyDescent="0.3">
      <c r="E21" t="s">
        <v>177</v>
      </c>
      <c r="F21" s="28" t="s">
        <v>191</v>
      </c>
      <c r="G21" t="s">
        <v>183</v>
      </c>
      <c r="H21" t="str">
        <f t="shared" si="0"/>
        <v>4896|1321</v>
      </c>
    </row>
    <row r="22" spans="5:8" x14ac:dyDescent="0.3">
      <c r="E22" t="s">
        <v>178</v>
      </c>
      <c r="F22" s="28" t="s">
        <v>191</v>
      </c>
      <c r="G22" t="s">
        <v>184</v>
      </c>
      <c r="H22" t="str">
        <f t="shared" si="0"/>
        <v>7028|1602</v>
      </c>
    </row>
    <row r="23" spans="5:8" x14ac:dyDescent="0.3">
      <c r="E23" t="s">
        <v>173</v>
      </c>
      <c r="F23" s="28" t="s">
        <v>191</v>
      </c>
      <c r="G23" t="s">
        <v>186</v>
      </c>
      <c r="H23" t="str">
        <f t="shared" si="0"/>
        <v>4898|1486</v>
      </c>
    </row>
    <row r="24" spans="5:8" x14ac:dyDescent="0.3">
      <c r="E24" t="s">
        <v>174</v>
      </c>
      <c r="F24" s="28" t="s">
        <v>191</v>
      </c>
      <c r="G24" t="s">
        <v>187</v>
      </c>
      <c r="H24" t="str">
        <f t="shared" si="0"/>
        <v>5887|1294</v>
      </c>
    </row>
    <row r="25" spans="5:8" x14ac:dyDescent="0.3">
      <c r="E25" t="s">
        <v>177</v>
      </c>
      <c r="F25" s="28" t="s">
        <v>191</v>
      </c>
      <c r="G25" t="s">
        <v>183</v>
      </c>
      <c r="H25" t="str">
        <f t="shared" si="0"/>
        <v>4896|1321</v>
      </c>
    </row>
    <row r="26" spans="5:8" x14ac:dyDescent="0.3">
      <c r="E26" t="s">
        <v>178</v>
      </c>
      <c r="F26" s="28" t="s">
        <v>191</v>
      </c>
      <c r="G26" t="s">
        <v>184</v>
      </c>
      <c r="H26" t="str">
        <f t="shared" si="0"/>
        <v>7028|1602</v>
      </c>
    </row>
    <row r="27" spans="5:8" x14ac:dyDescent="0.3">
      <c r="E27" t="s">
        <v>173</v>
      </c>
      <c r="F27" s="28" t="s">
        <v>191</v>
      </c>
      <c r="G27" t="s">
        <v>186</v>
      </c>
      <c r="H27" t="str">
        <f t="shared" si="0"/>
        <v>4898|1486</v>
      </c>
    </row>
    <row r="28" spans="5:8" x14ac:dyDescent="0.3">
      <c r="E28" t="s">
        <v>174</v>
      </c>
      <c r="F28" s="28" t="s">
        <v>191</v>
      </c>
      <c r="G28" t="s">
        <v>187</v>
      </c>
      <c r="H28" t="str">
        <f t="shared" si="0"/>
        <v>5887|1294</v>
      </c>
    </row>
    <row r="29" spans="5:8" x14ac:dyDescent="0.3">
      <c r="E29" t="s">
        <v>176</v>
      </c>
      <c r="F29" s="28" t="s">
        <v>191</v>
      </c>
      <c r="G29" t="s">
        <v>182</v>
      </c>
      <c r="H29" t="str">
        <f t="shared" si="0"/>
        <v>4895|1320</v>
      </c>
    </row>
    <row r="30" spans="5:8" x14ac:dyDescent="0.3">
      <c r="E30" t="s">
        <v>177</v>
      </c>
      <c r="F30" s="28" t="s">
        <v>191</v>
      </c>
      <c r="G30" t="s">
        <v>183</v>
      </c>
      <c r="H30" t="str">
        <f t="shared" si="0"/>
        <v>4896|1321</v>
      </c>
    </row>
    <row r="31" spans="5:8" x14ac:dyDescent="0.3">
      <c r="E31" t="s">
        <v>178</v>
      </c>
      <c r="F31" s="28" t="s">
        <v>191</v>
      </c>
      <c r="G31" t="s">
        <v>184</v>
      </c>
      <c r="H31" t="str">
        <f t="shared" si="0"/>
        <v>7028|1602</v>
      </c>
    </row>
    <row r="32" spans="5:8" x14ac:dyDescent="0.3">
      <c r="E32" t="s">
        <v>173</v>
      </c>
      <c r="F32" s="28" t="s">
        <v>191</v>
      </c>
      <c r="G32" t="s">
        <v>186</v>
      </c>
      <c r="H32" t="str">
        <f t="shared" si="0"/>
        <v>4898|1486</v>
      </c>
    </row>
    <row r="33" spans="5:8" x14ac:dyDescent="0.3">
      <c r="E33" t="s">
        <v>174</v>
      </c>
      <c r="F33" s="28" t="s">
        <v>191</v>
      </c>
      <c r="G33" t="s">
        <v>187</v>
      </c>
      <c r="H33" t="str">
        <f t="shared" si="0"/>
        <v>5887|1294</v>
      </c>
    </row>
    <row r="34" spans="5:8" x14ac:dyDescent="0.3">
      <c r="E34" t="s">
        <v>176</v>
      </c>
      <c r="F34" s="28" t="s">
        <v>191</v>
      </c>
      <c r="G34" t="s">
        <v>182</v>
      </c>
      <c r="H34" t="str">
        <f t="shared" si="0"/>
        <v>4895|1320</v>
      </c>
    </row>
    <row r="35" spans="5:8" x14ac:dyDescent="0.3">
      <c r="E35" t="s">
        <v>178</v>
      </c>
      <c r="F35" s="28" t="s">
        <v>191</v>
      </c>
      <c r="G35" t="s">
        <v>184</v>
      </c>
      <c r="H35" t="str">
        <f t="shared" si="0"/>
        <v>7028|1602</v>
      </c>
    </row>
    <row r="36" spans="5:8" x14ac:dyDescent="0.3">
      <c r="E36" t="s">
        <v>173</v>
      </c>
      <c r="F36" s="28" t="s">
        <v>191</v>
      </c>
      <c r="G36" t="s">
        <v>186</v>
      </c>
      <c r="H36" t="str">
        <f t="shared" si="0"/>
        <v>4898|1486</v>
      </c>
    </row>
    <row r="37" spans="5:8" x14ac:dyDescent="0.3">
      <c r="E37" t="s">
        <v>174</v>
      </c>
      <c r="F37" s="28" t="s">
        <v>191</v>
      </c>
      <c r="G37" t="s">
        <v>187</v>
      </c>
      <c r="H37" t="str">
        <f t="shared" si="0"/>
        <v>5887|1294</v>
      </c>
    </row>
    <row r="38" spans="5:8" x14ac:dyDescent="0.3">
      <c r="E38" t="s">
        <v>185</v>
      </c>
      <c r="F38" s="28" t="s">
        <v>191</v>
      </c>
      <c r="G38" t="s">
        <v>188</v>
      </c>
      <c r="H38" t="str">
        <f t="shared" si="0"/>
        <v>4893|1319</v>
      </c>
    </row>
    <row r="39" spans="5:8" x14ac:dyDescent="0.3">
      <c r="E39" t="s">
        <v>176</v>
      </c>
      <c r="F39" s="28" t="s">
        <v>191</v>
      </c>
      <c r="G39" t="s">
        <v>182</v>
      </c>
      <c r="H39" t="str">
        <f t="shared" si="0"/>
        <v>4895|1320</v>
      </c>
    </row>
    <row r="40" spans="5:8" x14ac:dyDescent="0.3">
      <c r="E40" t="s">
        <v>177</v>
      </c>
      <c r="F40" s="28" t="s">
        <v>191</v>
      </c>
      <c r="G40" t="s">
        <v>183</v>
      </c>
      <c r="H40" t="str">
        <f t="shared" si="0"/>
        <v>4896|1321</v>
      </c>
    </row>
    <row r="41" spans="5:8" x14ac:dyDescent="0.3">
      <c r="E41" t="s">
        <v>178</v>
      </c>
      <c r="F41" s="28" t="s">
        <v>191</v>
      </c>
      <c r="G41" t="s">
        <v>184</v>
      </c>
      <c r="H41" t="str">
        <f t="shared" si="0"/>
        <v>7028|1602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礼物主表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陈斌</cp:lastModifiedBy>
  <dcterms:created xsi:type="dcterms:W3CDTF">2023-05-12T11:15:00Z</dcterms:created>
  <dcterms:modified xsi:type="dcterms:W3CDTF">2025-01-29T13:30:13Z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6C86DBBF58D441CCB3B12B6BBAAD3A6A_12</vt:lpwstr>
  </property>
</Properties>
</file>